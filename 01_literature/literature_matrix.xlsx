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terature Matrix" sheetId="1" state="visible" r:id="rId3"/>
    <sheet name="Summary" sheetId="2" state="visible" r:id="rId4"/>
    <sheet name="Lis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<sst xmlns="http://schemas.openxmlformats.org/spreadsheetml/2006/main" count="494" uniqueCount="181">
  <si>
    <t xml:space="preserve">ID</t>
  </si>
  <si>
    <t xml:space="preserve">Priority</t>
  </si>
  <si>
    <t xml:space="preserve">Status</t>
  </si>
  <si>
    <t xml:space="preserve">Author Year</t>
  </si>
  <si>
    <t xml:space="preserve">Title</t>
  </si>
  <si>
    <t xml:space="preserve">Type</t>
  </si>
  <si>
    <t xml:space="preserve">Theme</t>
  </si>
  <si>
    <t xml:space="preserve">Method</t>
  </si>
  <si>
    <t xml:space="preserve">Key Finding</t>
  </si>
  <si>
    <t xml:space="preserve">Relevance to Thesis</t>
  </si>
  <si>
    <t xml:space="preserve">Limitation</t>
  </si>
  <si>
    <t xml:space="preserve">Use in Thesis</t>
  </si>
  <si>
    <t xml:space="preserve">Citation Checked</t>
  </si>
  <si>
    <t xml:space="preserve">PDF Saved</t>
  </si>
  <si>
    <t xml:space="preserve">Source URL</t>
  </si>
  <si>
    <t xml:space="preserve">Notes File</t>
  </si>
  <si>
    <t xml:space="preserve">▼  Academic Papers  (P-series)</t>
  </si>
  <si>
    <t xml:space="preserve">P001</t>
  </si>
  <si>
    <t xml:space="preserve">A - Core</t>
  </si>
  <si>
    <t xml:space="preserve">Skimmed</t>
  </si>
  <si>
    <t xml:space="preserve">Vazifeh et al. (2019)</t>
  </si>
  <si>
    <t xml:space="preserve">Optimising the deployment of EV charging stations</t>
  </si>
  <si>
    <t xml:space="preserve">Journal</t>
  </si>
  <si>
    <t xml:space="preserve">Location-Allocation</t>
  </si>
  <si>
    <t xml:space="preserve">Set-covering, ILP</t>
  </si>
  <si>
    <t xml:space="preserve">Time-robust static coverage formulation</t>
  </si>
  <si>
    <t xml:space="preserve">Baseline set-covering model for this study</t>
  </si>
  <si>
    <t xml:space="preserve">Static demand assumption</t>
  </si>
  <si>
    <t xml:space="preserve">Intro / Method</t>
  </si>
  <si>
    <t xml:space="preserve">Yes</t>
  </si>
  <si>
    <t xml:space="preserve">https://doi.org/...</t>
  </si>
  <si>
    <t xml:space="preserve">P001_Vazifeh_2019.md</t>
  </si>
  <si>
    <t xml:space="preserve">P002</t>
  </si>
  <si>
    <t xml:space="preserve">He et al. (2022)</t>
  </si>
  <si>
    <t xml:space="preserve">Siting EV charging stations with planning constraints</t>
  </si>
  <si>
    <t xml:space="preserve">Capacitated MILP, CPLEX</t>
  </si>
  <si>
    <t xml:space="preserve">Adds capacity + planning constraints to LA model</t>
  </si>
  <si>
    <t xml:space="preserve">Direct source for planning-realistic p-median design</t>
  </si>
  <si>
    <t xml:space="preserve">No equity/deprivation term</t>
  </si>
  <si>
    <t xml:space="preserve">Intro / Method / Discussion</t>
  </si>
  <si>
    <t xml:space="preserve">P002_He_2022.md</t>
  </si>
  <si>
    <t xml:space="preserve">P003</t>
  </si>
  <si>
    <t xml:space="preserve">Lu et al. (2026)</t>
  </si>
  <si>
    <t xml:space="preserve">Land-use heterogeneity and EV utilisation patterns</t>
  </si>
  <si>
    <t xml:space="preserve">Demand Estimation</t>
  </si>
  <si>
    <t xml:space="preserve">Regression, GIS</t>
  </si>
  <si>
    <t xml:space="preserve">Land-use type drives utilisation rate heterogeneity</t>
  </si>
  <si>
    <t xml:space="preserve">Justifies LSOA-level heterogeneous demand proxy</t>
  </si>
  <si>
    <t xml:space="preserve">No location-allocation optimisation</t>
  </si>
  <si>
    <t xml:space="preserve">Intro / Lit Review</t>
  </si>
  <si>
    <t xml:space="preserve">P003_Lu_2026.md</t>
  </si>
  <si>
    <t xml:space="preserve">P004</t>
  </si>
  <si>
    <t xml:space="preserve">B - Important</t>
  </si>
  <si>
    <t xml:space="preserve">Not read</t>
  </si>
  <si>
    <t xml:space="preserve">Pagany et al. (2018)</t>
  </si>
  <si>
    <t xml:space="preserve">A review of EV charging infrastructure placement</t>
  </si>
  <si>
    <t xml:space="preserve">Literature review</t>
  </si>
  <si>
    <t xml:space="preserve">Gap: no standardised framework for heterogeneous demand</t>
  </si>
  <si>
    <t xml:space="preserve">Key source for gap statement in introduction</t>
  </si>
  <si>
    <t xml:space="preserve">Review only; no original model</t>
  </si>
  <si>
    <t xml:space="preserve">Lit Review</t>
  </si>
  <si>
    <t xml:space="preserve">No</t>
  </si>
  <si>
    <t xml:space="preserve">P004_Pagany_2018.md</t>
  </si>
  <si>
    <t xml:space="preserve">P005</t>
  </si>
  <si>
    <t xml:space="preserve">P006</t>
  </si>
  <si>
    <t xml:space="preserve">P007</t>
  </si>
  <si>
    <t xml:space="preserve">P008</t>
  </si>
  <si>
    <t xml:space="preserve">P009</t>
  </si>
  <si>
    <t xml:space="preserve">P010</t>
  </si>
  <si>
    <t xml:space="preserve">P011</t>
  </si>
  <si>
    <t xml:space="preserve">P012</t>
  </si>
  <si>
    <t xml:space="preserve">P013</t>
  </si>
  <si>
    <t xml:space="preserve">P014</t>
  </si>
  <si>
    <t xml:space="preserve">P015</t>
  </si>
  <si>
    <t xml:space="preserve">P016</t>
  </si>
  <si>
    <t xml:space="preserve">P017</t>
  </si>
  <si>
    <t xml:space="preserve">P018</t>
  </si>
  <si>
    <t xml:space="preserve">P019</t>
  </si>
  <si>
    <t xml:space="preserve">P020</t>
  </si>
  <si>
    <t xml:space="preserve">P021</t>
  </si>
  <si>
    <t xml:space="preserve">P022</t>
  </si>
  <si>
    <t xml:space="preserve">P023</t>
  </si>
  <si>
    <t xml:space="preserve">P024</t>
  </si>
  <si>
    <t xml:space="preserve">P025</t>
  </si>
  <si>
    <t xml:space="preserve">P026</t>
  </si>
  <si>
    <t xml:space="preserve">P027</t>
  </si>
  <si>
    <t xml:space="preserve">P028</t>
  </si>
  <si>
    <t xml:space="preserve">P029</t>
  </si>
  <si>
    <t xml:space="preserve">P030</t>
  </si>
  <si>
    <t xml:space="preserve">P031</t>
  </si>
  <si>
    <t xml:space="preserve">P032</t>
  </si>
  <si>
    <t xml:space="preserve">P033</t>
  </si>
  <si>
    <t xml:space="preserve">P034</t>
  </si>
  <si>
    <t xml:space="preserve">P035</t>
  </si>
  <si>
    <t xml:space="preserve">P036</t>
  </si>
  <si>
    <t xml:space="preserve">P037</t>
  </si>
  <si>
    <t xml:space="preserve">P038</t>
  </si>
  <si>
    <t xml:space="preserve">P039</t>
  </si>
  <si>
    <t xml:space="preserve">P040</t>
  </si>
  <si>
    <t xml:space="preserve">P041</t>
  </si>
  <si>
    <t xml:space="preserve">P042</t>
  </si>
  <si>
    <t xml:space="preserve">P043</t>
  </si>
  <si>
    <t xml:space="preserve">P044</t>
  </si>
  <si>
    <t xml:space="preserve">P045</t>
  </si>
  <si>
    <t xml:space="preserve">P046</t>
  </si>
  <si>
    <t xml:space="preserve">P047</t>
  </si>
  <si>
    <t xml:space="preserve">P048</t>
  </si>
  <si>
    <t xml:space="preserve">P049</t>
  </si>
  <si>
    <t xml:space="preserve">P050</t>
  </si>
  <si>
    <t xml:space="preserve">▼  Reports &amp; Policy Documents  (R-series)</t>
  </si>
  <si>
    <t xml:space="preserve">R001</t>
  </si>
  <si>
    <t xml:space="preserve">GOV.UK (2022)</t>
  </si>
  <si>
    <t xml:space="preserve">EV Infrastructure Strategy 2022</t>
  </si>
  <si>
    <t xml:space="preserve">Government report</t>
  </si>
  <si>
    <t xml:space="preserve">Policy/Context</t>
  </si>
  <si>
    <t xml:space="preserve">Policy document</t>
  </si>
  <si>
    <t xml:space="preserve">National EV charging targets and planning obligations</t>
  </si>
  <si>
    <t xml:space="preserve">Provides UK policy constraint context</t>
  </si>
  <si>
    <t xml:space="preserve">Government target, not spatial model</t>
  </si>
  <si>
    <t xml:space="preserve">Intro / Discussion</t>
  </si>
  <si>
    <t xml:space="preserve">https://gov.uk/...</t>
  </si>
  <si>
    <t xml:space="preserve">R001_GOV_UK_2022.md</t>
  </si>
  <si>
    <t xml:space="preserve">R002</t>
  </si>
  <si>
    <t xml:space="preserve">HoC Library (2025)</t>
  </si>
  <si>
    <t xml:space="preserve">House of Commons EV Briefing CBP-7480</t>
  </si>
  <si>
    <t xml:space="preserve">Policy briefing</t>
  </si>
  <si>
    <t xml:space="preserve">Current state of UK EV infrastructure deployment</t>
  </si>
  <si>
    <t xml:space="preserve">Latest policy context for discussion section</t>
  </si>
  <si>
    <t xml:space="preserve">Parliamentary brief, not academic</t>
  </si>
  <si>
    <t xml:space="preserve">Discussion</t>
  </si>
  <si>
    <t xml:space="preserve">R002_HoC_2025.md</t>
  </si>
  <si>
    <t xml:space="preserve">R003</t>
  </si>
  <si>
    <t xml:space="preserve">EIT Urban Mobility</t>
  </si>
  <si>
    <t xml:space="preserve">EIT Urban Mobility Marketplace Minute Report</t>
  </si>
  <si>
    <t xml:space="preserve">Industry report</t>
  </si>
  <si>
    <t xml:space="preserve">Challenges in public EV charging accessibility</t>
  </si>
  <si>
    <t xml:space="preserve">Supporting evidence for equity motivation</t>
  </si>
  <si>
    <t xml:space="preserve">Industry, not peer-reviewed</t>
  </si>
  <si>
    <t xml:space="preserve">Intro</t>
  </si>
  <si>
    <t xml:space="preserve">https://linkedin.com/...</t>
  </si>
  <si>
    <t xml:space="preserve">R003_EIT_2024.md</t>
  </si>
  <si>
    <t xml:space="preserve">R004</t>
  </si>
  <si>
    <t xml:space="preserve">R005</t>
  </si>
  <si>
    <t xml:space="preserve">R006</t>
  </si>
  <si>
    <t xml:space="preserve">R007</t>
  </si>
  <si>
    <t xml:space="preserve">R008</t>
  </si>
  <si>
    <t xml:space="preserve">R009</t>
  </si>
  <si>
    <t xml:space="preserve">R010</t>
  </si>
  <si>
    <t xml:space="preserve">R011</t>
  </si>
  <si>
    <t xml:space="preserve">R012</t>
  </si>
  <si>
    <t xml:space="preserve">R013</t>
  </si>
  <si>
    <t xml:space="preserve">R014</t>
  </si>
  <si>
    <t xml:space="preserve">R015</t>
  </si>
  <si>
    <t xml:space="preserve">Literature Matrix Summary</t>
  </si>
  <si>
    <t xml:space="preserve">Reading Workflow</t>
  </si>
  <si>
    <t xml:space="preserve">Academic papers (P-series)</t>
  </si>
  <si>
    <t xml:space="preserve">1  Skim A-Core papers first: Vazifeh, He, Lu, Pagany.</t>
  </si>
  <si>
    <t xml:space="preserve">Reports &amp; policy docs (R-series)</t>
  </si>
  <si>
    <t xml:space="preserve">2  Status flow: Not read → Skimmed → Reading → Read → Cited.</t>
  </si>
  <si>
    <t xml:space="preserve">Total</t>
  </si>
  <si>
    <t xml:space="preserve">3  Fill Key Finding only after reading or skimming.</t>
  </si>
  <si>
    <t xml:space="preserve">4  P-IDs for academic papers; R-IDs for reports &amp; policy docs.</t>
  </si>
  <si>
    <t xml:space="preserve">By Priority</t>
  </si>
  <si>
    <t xml:space="preserve">5  Keep Source URL as plain text for traceability.</t>
  </si>
  <si>
    <t xml:space="preserve">6  Notes file path: 01_literature/reading_notes/P001_Surname_YYYY.md</t>
  </si>
  <si>
    <t xml:space="preserve">C - Method</t>
  </si>
  <si>
    <t xml:space="preserve">D - Background</t>
  </si>
  <si>
    <t xml:space="preserve">By Status</t>
  </si>
  <si>
    <t xml:space="preserve">Reading</t>
  </si>
  <si>
    <t xml:space="preserve">Read</t>
  </si>
  <si>
    <t xml:space="preserve">Cited</t>
  </si>
  <si>
    <t xml:space="preserve">By Theme</t>
  </si>
  <si>
    <t xml:space="preserve">Spatial Equity</t>
  </si>
  <si>
    <t xml:space="preserve">Yes/No</t>
  </si>
  <si>
    <t xml:space="preserve">Conference</t>
  </si>
  <si>
    <t xml:space="preserve">Preprint</t>
  </si>
  <si>
    <t xml:space="preserve">Report</t>
  </si>
  <si>
    <t xml:space="preserve">Dataset</t>
  </si>
  <si>
    <t xml:space="preserve">Appendix</t>
  </si>
  <si>
    <t xml:space="preserve">Backup</t>
  </si>
  <si>
    <t xml:space="preserve">Working Paper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</si>
</sst>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03300"/>
      </patternFill>
    </fill>
    <fill>
      <patternFill patternType="solid">
        <fgColor rgb="FF2C3E6B"/>
        <bgColor rgb="FF4A3560"/>
      </patternFill>
    </fill>
    <fill>
      <patternFill patternType="solid">
        <fgColor rgb="FFDDEEFF"/>
        <bgColor rgb="FFD6F0DE"/>
      </patternFill>
    </fill>
    <fill>
      <patternFill patternType="solid">
        <fgColor rgb="FFD6F0DE"/>
        <bgColor rgb="FFDDEEFF"/>
      </patternFill>
    </fill>
    <fill>
      <patternFill patternType="solid">
        <fgColor rgb="FFFFFFFF"/>
        <bgColor rgb="FFF9F9F9"/>
      </patternFill>
    </fill>
    <fill>
      <patternFill patternType="solid">
        <fgColor rgb="FF4A3560"/>
        <bgColor rgb="FF2C3E6B"/>
      </patternFill>
    </fill>
    <fill>
      <patternFill patternType="solid">
        <fgColor rgb="FFEDE0FF"/>
        <bgColor rgb="FFDDEE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medium">
        <color rgb="FF888888"/>
      </top>
      <bottom style="medium">
        <color rgb="FF888888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DDEE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0FF"/>
      <rgbColor rgb="FFD6F0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88888"/>
      <rgbColor rgb="FF1A5276"/>
      <rgbColor rgb="FF339966"/>
      <rgbColor rgb="FF003300"/>
      <rgbColor rgb="FF1A1A2E"/>
      <rgbColor rgb="FF993300"/>
      <rgbColor rgb="FF993366"/>
      <rgbColor rgb="FF2C3E6B"/>
      <rgbColor rgb="FF4A35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Items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Summary!B6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rgbClr val="1a527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Summary!$A$7:$A$10</c:f>
              <c:strCache>
                <c:ptCount val="4"/>
                <c:pt idx="0">
                  <c:v>A - Core</c:v>
                </c:pt>
                <c:pt idx="1">
                  <c:v>B - Important</c:v>
                </c:pt>
                <c:pt idx="2">
                  <c:v>C - Method</c:v>
                </c:pt>
                <c:pt idx="3">
                  <c:v>D - Background</c:v>
                </c:pt>
              </c:strCache>
            </c:strRef>
          </c:cat>
          <c:val>
            <c:numRef>
              <c:f>Summary!$B$7:$B$10</c:f>
              <c:numCache>
                <c:formatCode>General</c:formatCode>
                <c:ptCount val="4"/>
                <c:pt idx="0">
                  <c:v>4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49951567"/>
        <c:axId val="22757550"/>
      </c:barChart>
      <c:catAx>
        <c:axId val="49951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57550"/>
        <c:crosses val="autoZero"/>
        <c:auto val="1"/>
        <c:lblAlgn val="ctr"/>
        <c:lblOffset val="100"/>
        <c:noMultiLvlLbl val="0"/>
      </c:catAx>
      <c:valAx>
        <c:axId val="227575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9515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8</xdr:row>
      <xdr:rowOff>0</xdr:rowOff>
    </xdr:from>
    <xdr:to>
      <xdr:col>4</xdr:col>
      <xdr:colOff>3348000</xdr:colOff>
      <xdr:row>24</xdr:row>
      <xdr:rowOff>18360</xdr:rowOff>
    </xdr:to>
    <xdr:graphicFrame>
      <xdr:nvGraphicFramePr>
        <xdr:cNvPr id="0" name="Chart 1"/>
        <xdr:cNvGraphicFramePr/>
      </xdr:nvGraphicFramePr>
      <xdr:xfrm>
        <a:off x="3008160" y="1847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13"/>
    <col collapsed="false" customWidth="true" hidden="false" outlineLevel="0" max="8" min="7" style="0" width="22"/>
    <col collapsed="false" customWidth="true" hidden="false" outlineLevel="0" max="9" min="9" style="0" width="36"/>
    <col collapsed="false" customWidth="true" hidden="false" outlineLevel="0" max="10" min="10" style="0" width="34"/>
    <col collapsed="false" customWidth="true" hidden="false" outlineLevel="0" max="11" min="11" style="0" width="26"/>
    <col collapsed="false" customWidth="true" hidden="false" outlineLevel="0" max="12" min="12" style="0" width="24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28"/>
    <col collapsed="false" customWidth="true" hidden="false" outlineLevel="0" max="16" min="16" style="0" width="2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.75" hidden="false" customHeight="true" outlineLevel="0" collapsed="false">
      <c r="A2" s="2" t="s">
        <v>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37.5" hidden="false" customHeight="true" outlineLevel="0" collapsed="false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29</v>
      </c>
      <c r="O3" s="3" t="s">
        <v>30</v>
      </c>
      <c r="P3" s="3" t="s">
        <v>31</v>
      </c>
    </row>
    <row r="4" customFormat="false" ht="37.5" hidden="false" customHeight="true" outlineLevel="0" collapsed="false">
      <c r="A4" s="3" t="s">
        <v>32</v>
      </c>
      <c r="B4" s="3" t="s">
        <v>18</v>
      </c>
      <c r="C4" s="3" t="s">
        <v>19</v>
      </c>
      <c r="D4" s="3" t="s">
        <v>33</v>
      </c>
      <c r="E4" s="3" t="s">
        <v>34</v>
      </c>
      <c r="F4" s="3" t="s">
        <v>22</v>
      </c>
      <c r="G4" s="3" t="s">
        <v>23</v>
      </c>
      <c r="H4" s="3" t="s">
        <v>35</v>
      </c>
      <c r="I4" s="3" t="s">
        <v>36</v>
      </c>
      <c r="J4" s="3" t="s">
        <v>37</v>
      </c>
      <c r="K4" s="3" t="s">
        <v>38</v>
      </c>
      <c r="L4" s="3" t="s">
        <v>39</v>
      </c>
      <c r="M4" s="3" t="s">
        <v>29</v>
      </c>
      <c r="N4" s="3" t="s">
        <v>29</v>
      </c>
      <c r="O4" s="3" t="s">
        <v>30</v>
      </c>
      <c r="P4" s="3" t="s">
        <v>40</v>
      </c>
    </row>
    <row r="5" customFormat="false" ht="37.5" hidden="false" customHeight="true" outlineLevel="0" collapsed="false">
      <c r="A5" s="4" t="s">
        <v>41</v>
      </c>
      <c r="B5" s="4" t="s">
        <v>18</v>
      </c>
      <c r="C5" s="4" t="s">
        <v>19</v>
      </c>
      <c r="D5" s="4" t="s">
        <v>42</v>
      </c>
      <c r="E5" s="4" t="s">
        <v>43</v>
      </c>
      <c r="F5" s="4" t="s">
        <v>22</v>
      </c>
      <c r="G5" s="4" t="s">
        <v>44</v>
      </c>
      <c r="H5" s="4" t="s">
        <v>45</v>
      </c>
      <c r="I5" s="4" t="s">
        <v>46</v>
      </c>
      <c r="J5" s="4" t="s">
        <v>47</v>
      </c>
      <c r="K5" s="4" t="s">
        <v>48</v>
      </c>
      <c r="L5" s="4" t="s">
        <v>49</v>
      </c>
      <c r="M5" s="4" t="s">
        <v>29</v>
      </c>
      <c r="N5" s="4" t="s">
        <v>29</v>
      </c>
      <c r="O5" s="4" t="s">
        <v>30</v>
      </c>
      <c r="P5" s="4" t="s">
        <v>50</v>
      </c>
    </row>
    <row r="6" customFormat="false" ht="37.5" hidden="false" customHeight="true" outlineLevel="0" collapsed="false">
      <c r="A6" s="3" t="s">
        <v>51</v>
      </c>
      <c r="B6" s="3" t="s">
        <v>52</v>
      </c>
      <c r="C6" s="3" t="s">
        <v>53</v>
      </c>
      <c r="D6" s="3" t="s">
        <v>54</v>
      </c>
      <c r="E6" s="3" t="s">
        <v>55</v>
      </c>
      <c r="F6" s="3" t="s">
        <v>22</v>
      </c>
      <c r="G6" s="3" t="s">
        <v>23</v>
      </c>
      <c r="H6" s="3" t="s">
        <v>56</v>
      </c>
      <c r="I6" s="3" t="s">
        <v>57</v>
      </c>
      <c r="J6" s="3" t="s">
        <v>58</v>
      </c>
      <c r="K6" s="3" t="s">
        <v>59</v>
      </c>
      <c r="L6" s="3" t="s">
        <v>60</v>
      </c>
      <c r="M6" s="3" t="s">
        <v>61</v>
      </c>
      <c r="N6" s="3" t="s">
        <v>61</v>
      </c>
      <c r="O6" s="3" t="s">
        <v>30</v>
      </c>
      <c r="P6" s="3" t="s">
        <v>62</v>
      </c>
    </row>
    <row r="7" customFormat="false" ht="37.5" hidden="false" customHeight="true" outlineLevel="0" collapsed="false">
      <c r="A7" s="5" t="s">
        <v>63</v>
      </c>
      <c r="B7" s="5"/>
      <c r="C7" s="5" t="s">
        <v>53</v>
      </c>
      <c r="D7" s="5"/>
      <c r="E7" s="5"/>
      <c r="F7" s="5" t="s">
        <v>22</v>
      </c>
      <c r="G7" s="5"/>
      <c r="H7" s="5"/>
      <c r="I7" s="5"/>
      <c r="J7" s="5"/>
      <c r="K7" s="5"/>
      <c r="L7" s="5"/>
      <c r="M7" s="5" t="s">
        <v>61</v>
      </c>
      <c r="N7" s="5" t="s">
        <v>61</v>
      </c>
      <c r="O7" s="5"/>
      <c r="P7" s="5"/>
    </row>
    <row r="8" customFormat="false" ht="37.5" hidden="false" customHeight="true" outlineLevel="0" collapsed="false">
      <c r="A8" s="5" t="s">
        <v>64</v>
      </c>
      <c r="B8" s="5"/>
      <c r="C8" s="5" t="s">
        <v>53</v>
      </c>
      <c r="D8" s="5"/>
      <c r="E8" s="5"/>
      <c r="F8" s="5" t="s">
        <v>22</v>
      </c>
      <c r="G8" s="5"/>
      <c r="H8" s="5"/>
      <c r="I8" s="5"/>
      <c r="J8" s="5"/>
      <c r="K8" s="5"/>
      <c r="L8" s="5"/>
      <c r="M8" s="5" t="s">
        <v>61</v>
      </c>
      <c r="N8" s="5" t="s">
        <v>61</v>
      </c>
      <c r="O8" s="5"/>
      <c r="P8" s="5"/>
    </row>
    <row r="9" customFormat="false" ht="37.5" hidden="false" customHeight="true" outlineLevel="0" collapsed="false">
      <c r="A9" s="5" t="s">
        <v>65</v>
      </c>
      <c r="B9" s="5"/>
      <c r="C9" s="5" t="s">
        <v>53</v>
      </c>
      <c r="D9" s="5"/>
      <c r="E9" s="5"/>
      <c r="F9" s="5" t="s">
        <v>22</v>
      </c>
      <c r="G9" s="5"/>
      <c r="H9" s="5"/>
      <c r="I9" s="5"/>
      <c r="J9" s="5"/>
      <c r="K9" s="5"/>
      <c r="L9" s="5"/>
      <c r="M9" s="5" t="s">
        <v>61</v>
      </c>
      <c r="N9" s="5" t="s">
        <v>61</v>
      </c>
      <c r="O9" s="5"/>
      <c r="P9" s="5"/>
    </row>
    <row r="10" customFormat="false" ht="37.5" hidden="false" customHeight="true" outlineLevel="0" collapsed="false">
      <c r="A10" s="5" t="s">
        <v>66</v>
      </c>
      <c r="B10" s="5"/>
      <c r="C10" s="5" t="s">
        <v>53</v>
      </c>
      <c r="D10" s="5"/>
      <c r="E10" s="5"/>
      <c r="F10" s="5" t="s">
        <v>22</v>
      </c>
      <c r="G10" s="5"/>
      <c r="H10" s="5"/>
      <c r="I10" s="5"/>
      <c r="J10" s="5"/>
      <c r="K10" s="5"/>
      <c r="L10" s="5"/>
      <c r="M10" s="5" t="s">
        <v>61</v>
      </c>
      <c r="N10" s="5" t="s">
        <v>61</v>
      </c>
      <c r="O10" s="5"/>
      <c r="P10" s="5"/>
    </row>
    <row r="11" customFormat="false" ht="37.5" hidden="false" customHeight="true" outlineLevel="0" collapsed="false">
      <c r="A11" s="5" t="s">
        <v>67</v>
      </c>
      <c r="B11" s="5"/>
      <c r="C11" s="5" t="s">
        <v>53</v>
      </c>
      <c r="D11" s="5"/>
      <c r="E11" s="5"/>
      <c r="F11" s="5" t="s">
        <v>22</v>
      </c>
      <c r="G11" s="5"/>
      <c r="H11" s="5"/>
      <c r="I11" s="5"/>
      <c r="J11" s="5"/>
      <c r="K11" s="5"/>
      <c r="L11" s="5"/>
      <c r="M11" s="5" t="s">
        <v>61</v>
      </c>
      <c r="N11" s="5" t="s">
        <v>61</v>
      </c>
      <c r="O11" s="5"/>
      <c r="P11" s="5"/>
    </row>
    <row r="12" customFormat="false" ht="37.5" hidden="false" customHeight="true" outlineLevel="0" collapsed="false">
      <c r="A12" s="5" t="s">
        <v>68</v>
      </c>
      <c r="B12" s="5"/>
      <c r="C12" s="5" t="s">
        <v>53</v>
      </c>
      <c r="D12" s="5"/>
      <c r="E12" s="5"/>
      <c r="F12" s="5" t="s">
        <v>22</v>
      </c>
      <c r="G12" s="5"/>
      <c r="H12" s="5"/>
      <c r="I12" s="5"/>
      <c r="J12" s="5"/>
      <c r="K12" s="5"/>
      <c r="L12" s="5"/>
      <c r="M12" s="5" t="s">
        <v>61</v>
      </c>
      <c r="N12" s="5" t="s">
        <v>61</v>
      </c>
      <c r="O12" s="5"/>
      <c r="P12" s="5"/>
    </row>
    <row r="13" customFormat="false" ht="37.5" hidden="false" customHeight="true" outlineLevel="0" collapsed="false">
      <c r="A13" s="5" t="s">
        <v>69</v>
      </c>
      <c r="B13" s="5"/>
      <c r="C13" s="5" t="s">
        <v>53</v>
      </c>
      <c r="D13" s="5"/>
      <c r="E13" s="5"/>
      <c r="F13" s="5" t="s">
        <v>22</v>
      </c>
      <c r="G13" s="5"/>
      <c r="H13" s="5"/>
      <c r="I13" s="5"/>
      <c r="J13" s="5"/>
      <c r="K13" s="5"/>
      <c r="L13" s="5"/>
      <c r="M13" s="5" t="s">
        <v>61</v>
      </c>
      <c r="N13" s="5" t="s">
        <v>61</v>
      </c>
      <c r="O13" s="5"/>
      <c r="P13" s="5"/>
    </row>
    <row r="14" customFormat="false" ht="37.5" hidden="false" customHeight="true" outlineLevel="0" collapsed="false">
      <c r="A14" s="5" t="s">
        <v>70</v>
      </c>
      <c r="B14" s="5"/>
      <c r="C14" s="5" t="s">
        <v>53</v>
      </c>
      <c r="D14" s="5"/>
      <c r="E14" s="5"/>
      <c r="F14" s="5" t="s">
        <v>22</v>
      </c>
      <c r="G14" s="5"/>
      <c r="H14" s="5"/>
      <c r="I14" s="5"/>
      <c r="J14" s="5"/>
      <c r="K14" s="5"/>
      <c r="L14" s="5"/>
      <c r="M14" s="5" t="s">
        <v>61</v>
      </c>
      <c r="N14" s="5" t="s">
        <v>61</v>
      </c>
      <c r="O14" s="5"/>
      <c r="P14" s="5"/>
    </row>
    <row r="15" customFormat="false" ht="37.5" hidden="false" customHeight="true" outlineLevel="0" collapsed="false">
      <c r="A15" s="5" t="s">
        <v>71</v>
      </c>
      <c r="B15" s="5"/>
      <c r="C15" s="5" t="s">
        <v>53</v>
      </c>
      <c r="D15" s="5"/>
      <c r="E15" s="5"/>
      <c r="F15" s="5" t="s">
        <v>22</v>
      </c>
      <c r="G15" s="5"/>
      <c r="H15" s="5"/>
      <c r="I15" s="5"/>
      <c r="J15" s="5"/>
      <c r="K15" s="5"/>
      <c r="L15" s="5"/>
      <c r="M15" s="5" t="s">
        <v>61</v>
      </c>
      <c r="N15" s="5" t="s">
        <v>61</v>
      </c>
      <c r="O15" s="5"/>
      <c r="P15" s="5"/>
    </row>
    <row r="16" customFormat="false" ht="37.5" hidden="false" customHeight="true" outlineLevel="0" collapsed="false">
      <c r="A16" s="5" t="s">
        <v>72</v>
      </c>
      <c r="B16" s="5"/>
      <c r="C16" s="5" t="s">
        <v>53</v>
      </c>
      <c r="D16" s="5"/>
      <c r="E16" s="5"/>
      <c r="F16" s="5" t="s">
        <v>22</v>
      </c>
      <c r="G16" s="5"/>
      <c r="H16" s="5"/>
      <c r="I16" s="5"/>
      <c r="J16" s="5"/>
      <c r="K16" s="5"/>
      <c r="L16" s="5"/>
      <c r="M16" s="5" t="s">
        <v>61</v>
      </c>
      <c r="N16" s="5" t="s">
        <v>61</v>
      </c>
      <c r="O16" s="5"/>
      <c r="P16" s="5"/>
    </row>
    <row r="17" customFormat="false" ht="37.5" hidden="false" customHeight="true" outlineLevel="0" collapsed="false">
      <c r="A17" s="5" t="s">
        <v>73</v>
      </c>
      <c r="B17" s="5"/>
      <c r="C17" s="5" t="s">
        <v>53</v>
      </c>
      <c r="D17" s="5"/>
      <c r="E17" s="5"/>
      <c r="F17" s="5" t="s">
        <v>22</v>
      </c>
      <c r="G17" s="5"/>
      <c r="H17" s="5"/>
      <c r="I17" s="5"/>
      <c r="J17" s="5"/>
      <c r="K17" s="5"/>
      <c r="L17" s="5"/>
      <c r="M17" s="5" t="s">
        <v>61</v>
      </c>
      <c r="N17" s="5" t="s">
        <v>61</v>
      </c>
      <c r="O17" s="5"/>
      <c r="P17" s="5"/>
    </row>
    <row r="18" customFormat="false" ht="37.5" hidden="false" customHeight="true" outlineLevel="0" collapsed="false">
      <c r="A18" s="5" t="s">
        <v>74</v>
      </c>
      <c r="B18" s="5"/>
      <c r="C18" s="5" t="s">
        <v>53</v>
      </c>
      <c r="D18" s="5"/>
      <c r="E18" s="5"/>
      <c r="F18" s="5" t="s">
        <v>22</v>
      </c>
      <c r="G18" s="5"/>
      <c r="H18" s="5"/>
      <c r="I18" s="5"/>
      <c r="J18" s="5"/>
      <c r="K18" s="5"/>
      <c r="L18" s="5"/>
      <c r="M18" s="5" t="s">
        <v>61</v>
      </c>
      <c r="N18" s="5" t="s">
        <v>61</v>
      </c>
      <c r="O18" s="5"/>
      <c r="P18" s="5"/>
    </row>
    <row r="19" customFormat="false" ht="37.5" hidden="false" customHeight="true" outlineLevel="0" collapsed="false">
      <c r="A19" s="5" t="s">
        <v>75</v>
      </c>
      <c r="B19" s="5"/>
      <c r="C19" s="5" t="s">
        <v>53</v>
      </c>
      <c r="D19" s="5"/>
      <c r="E19" s="5"/>
      <c r="F19" s="5" t="s">
        <v>22</v>
      </c>
      <c r="G19" s="5"/>
      <c r="H19" s="5"/>
      <c r="I19" s="5"/>
      <c r="J19" s="5"/>
      <c r="K19" s="5"/>
      <c r="L19" s="5"/>
      <c r="M19" s="5" t="s">
        <v>61</v>
      </c>
      <c r="N19" s="5" t="s">
        <v>61</v>
      </c>
      <c r="O19" s="5"/>
      <c r="P19" s="5"/>
    </row>
    <row r="20" customFormat="false" ht="37.5" hidden="false" customHeight="true" outlineLevel="0" collapsed="false">
      <c r="A20" s="5" t="s">
        <v>76</v>
      </c>
      <c r="B20" s="5"/>
      <c r="C20" s="5" t="s">
        <v>53</v>
      </c>
      <c r="D20" s="5"/>
      <c r="E20" s="5"/>
      <c r="F20" s="5" t="s">
        <v>22</v>
      </c>
      <c r="G20" s="5"/>
      <c r="H20" s="5"/>
      <c r="I20" s="5"/>
      <c r="J20" s="5"/>
      <c r="K20" s="5"/>
      <c r="L20" s="5"/>
      <c r="M20" s="5" t="s">
        <v>61</v>
      </c>
      <c r="N20" s="5" t="s">
        <v>61</v>
      </c>
      <c r="O20" s="5"/>
      <c r="P20" s="5"/>
    </row>
    <row r="21" customFormat="false" ht="37.5" hidden="false" customHeight="true" outlineLevel="0" collapsed="false">
      <c r="A21" s="5" t="s">
        <v>77</v>
      </c>
      <c r="B21" s="5"/>
      <c r="C21" s="5" t="s">
        <v>53</v>
      </c>
      <c r="D21" s="5"/>
      <c r="E21" s="5"/>
      <c r="F21" s="5" t="s">
        <v>22</v>
      </c>
      <c r="G21" s="5"/>
      <c r="H21" s="5"/>
      <c r="I21" s="5"/>
      <c r="J21" s="5"/>
      <c r="K21" s="5"/>
      <c r="L21" s="5"/>
      <c r="M21" s="5" t="s">
        <v>61</v>
      </c>
      <c r="N21" s="5" t="s">
        <v>61</v>
      </c>
      <c r="O21" s="5"/>
      <c r="P21" s="5"/>
    </row>
    <row r="22" customFormat="false" ht="37.5" hidden="false" customHeight="true" outlineLevel="0" collapsed="false">
      <c r="A22" s="5" t="s">
        <v>78</v>
      </c>
      <c r="B22" s="5"/>
      <c r="C22" s="5" t="s">
        <v>53</v>
      </c>
      <c r="D22" s="5"/>
      <c r="E22" s="5"/>
      <c r="F22" s="5" t="s">
        <v>22</v>
      </c>
      <c r="G22" s="5"/>
      <c r="H22" s="5"/>
      <c r="I22" s="5"/>
      <c r="J22" s="5"/>
      <c r="K22" s="5"/>
      <c r="L22" s="5"/>
      <c r="M22" s="5" t="s">
        <v>61</v>
      </c>
      <c r="N22" s="5" t="s">
        <v>61</v>
      </c>
      <c r="O22" s="5"/>
      <c r="P22" s="5"/>
    </row>
    <row r="23" customFormat="false" ht="37.5" hidden="false" customHeight="true" outlineLevel="0" collapsed="false">
      <c r="A23" s="5" t="s">
        <v>79</v>
      </c>
      <c r="B23" s="5"/>
      <c r="C23" s="5" t="s">
        <v>53</v>
      </c>
      <c r="D23" s="5"/>
      <c r="E23" s="5"/>
      <c r="F23" s="5" t="s">
        <v>22</v>
      </c>
      <c r="G23" s="5"/>
      <c r="H23" s="5"/>
      <c r="I23" s="5"/>
      <c r="J23" s="5"/>
      <c r="K23" s="5"/>
      <c r="L23" s="5"/>
      <c r="M23" s="5" t="s">
        <v>61</v>
      </c>
      <c r="N23" s="5" t="s">
        <v>61</v>
      </c>
      <c r="O23" s="5"/>
      <c r="P23" s="5"/>
    </row>
    <row r="24" customFormat="false" ht="37.5" hidden="false" customHeight="true" outlineLevel="0" collapsed="false">
      <c r="A24" s="5" t="s">
        <v>80</v>
      </c>
      <c r="B24" s="5"/>
      <c r="C24" s="5" t="s">
        <v>53</v>
      </c>
      <c r="D24" s="5"/>
      <c r="E24" s="5"/>
      <c r="F24" s="5" t="s">
        <v>22</v>
      </c>
      <c r="G24" s="5"/>
      <c r="H24" s="5"/>
      <c r="I24" s="5"/>
      <c r="J24" s="5"/>
      <c r="K24" s="5"/>
      <c r="L24" s="5"/>
      <c r="M24" s="5" t="s">
        <v>61</v>
      </c>
      <c r="N24" s="5" t="s">
        <v>61</v>
      </c>
      <c r="O24" s="5"/>
      <c r="P24" s="5"/>
    </row>
    <row r="25" customFormat="false" ht="37.5" hidden="false" customHeight="true" outlineLevel="0" collapsed="false">
      <c r="A25" s="5" t="s">
        <v>81</v>
      </c>
      <c r="B25" s="5"/>
      <c r="C25" s="5" t="s">
        <v>53</v>
      </c>
      <c r="D25" s="5"/>
      <c r="E25" s="5"/>
      <c r="F25" s="5" t="s">
        <v>22</v>
      </c>
      <c r="G25" s="5"/>
      <c r="H25" s="5"/>
      <c r="I25" s="5"/>
      <c r="J25" s="5"/>
      <c r="K25" s="5"/>
      <c r="L25" s="5"/>
      <c r="M25" s="5" t="s">
        <v>61</v>
      </c>
      <c r="N25" s="5" t="s">
        <v>61</v>
      </c>
      <c r="O25" s="5"/>
      <c r="P25" s="5"/>
    </row>
    <row r="26" customFormat="false" ht="37.5" hidden="false" customHeight="true" outlineLevel="0" collapsed="false">
      <c r="A26" s="5" t="s">
        <v>82</v>
      </c>
      <c r="B26" s="5"/>
      <c r="C26" s="5" t="s">
        <v>53</v>
      </c>
      <c r="D26" s="5"/>
      <c r="E26" s="5"/>
      <c r="F26" s="5" t="s">
        <v>22</v>
      </c>
      <c r="G26" s="5"/>
      <c r="H26" s="5"/>
      <c r="I26" s="5"/>
      <c r="J26" s="5"/>
      <c r="K26" s="5"/>
      <c r="L26" s="5"/>
      <c r="M26" s="5" t="s">
        <v>61</v>
      </c>
      <c r="N26" s="5" t="s">
        <v>61</v>
      </c>
      <c r="O26" s="5"/>
      <c r="P26" s="5"/>
    </row>
    <row r="27" customFormat="false" ht="37.5" hidden="false" customHeight="true" outlineLevel="0" collapsed="false">
      <c r="A27" s="5" t="s">
        <v>83</v>
      </c>
      <c r="B27" s="5"/>
      <c r="C27" s="5" t="s">
        <v>53</v>
      </c>
      <c r="D27" s="5"/>
      <c r="E27" s="5"/>
      <c r="F27" s="5" t="s">
        <v>22</v>
      </c>
      <c r="G27" s="5"/>
      <c r="H27" s="5"/>
      <c r="I27" s="5"/>
      <c r="J27" s="5"/>
      <c r="K27" s="5"/>
      <c r="L27" s="5"/>
      <c r="M27" s="5" t="s">
        <v>61</v>
      </c>
      <c r="N27" s="5" t="s">
        <v>61</v>
      </c>
      <c r="O27" s="5"/>
      <c r="P27" s="5"/>
    </row>
    <row r="28" customFormat="false" ht="37.5" hidden="false" customHeight="true" outlineLevel="0" collapsed="false">
      <c r="A28" s="5" t="s">
        <v>84</v>
      </c>
      <c r="B28" s="5"/>
      <c r="C28" s="5" t="s">
        <v>53</v>
      </c>
      <c r="D28" s="5"/>
      <c r="E28" s="5"/>
      <c r="F28" s="5" t="s">
        <v>22</v>
      </c>
      <c r="G28" s="5"/>
      <c r="H28" s="5"/>
      <c r="I28" s="5"/>
      <c r="J28" s="5"/>
      <c r="K28" s="5"/>
      <c r="L28" s="5"/>
      <c r="M28" s="5" t="s">
        <v>61</v>
      </c>
      <c r="N28" s="5" t="s">
        <v>61</v>
      </c>
      <c r="O28" s="5"/>
      <c r="P28" s="5"/>
    </row>
    <row r="29" customFormat="false" ht="37.5" hidden="false" customHeight="true" outlineLevel="0" collapsed="false">
      <c r="A29" s="5" t="s">
        <v>85</v>
      </c>
      <c r="B29" s="5"/>
      <c r="C29" s="5" t="s">
        <v>53</v>
      </c>
      <c r="D29" s="5"/>
      <c r="E29" s="5"/>
      <c r="F29" s="5" t="s">
        <v>22</v>
      </c>
      <c r="G29" s="5"/>
      <c r="H29" s="5"/>
      <c r="I29" s="5"/>
      <c r="J29" s="5"/>
      <c r="K29" s="5"/>
      <c r="L29" s="5"/>
      <c r="M29" s="5" t="s">
        <v>61</v>
      </c>
      <c r="N29" s="5" t="s">
        <v>61</v>
      </c>
      <c r="O29" s="5"/>
      <c r="P29" s="5"/>
    </row>
    <row r="30" customFormat="false" ht="37.5" hidden="false" customHeight="true" outlineLevel="0" collapsed="false">
      <c r="A30" s="5" t="s">
        <v>86</v>
      </c>
      <c r="B30" s="5"/>
      <c r="C30" s="5" t="s">
        <v>53</v>
      </c>
      <c r="D30" s="5"/>
      <c r="E30" s="5"/>
      <c r="F30" s="5" t="s">
        <v>22</v>
      </c>
      <c r="G30" s="5"/>
      <c r="H30" s="5"/>
      <c r="I30" s="5"/>
      <c r="J30" s="5"/>
      <c r="K30" s="5"/>
      <c r="L30" s="5"/>
      <c r="M30" s="5" t="s">
        <v>61</v>
      </c>
      <c r="N30" s="5" t="s">
        <v>61</v>
      </c>
      <c r="O30" s="5"/>
      <c r="P30" s="5"/>
    </row>
    <row r="31" customFormat="false" ht="37.5" hidden="false" customHeight="true" outlineLevel="0" collapsed="false">
      <c r="A31" s="5" t="s">
        <v>87</v>
      </c>
      <c r="B31" s="5"/>
      <c r="C31" s="5" t="s">
        <v>53</v>
      </c>
      <c r="D31" s="5"/>
      <c r="E31" s="5"/>
      <c r="F31" s="5" t="s">
        <v>22</v>
      </c>
      <c r="G31" s="5"/>
      <c r="H31" s="5"/>
      <c r="I31" s="5"/>
      <c r="J31" s="5"/>
      <c r="K31" s="5"/>
      <c r="L31" s="5"/>
      <c r="M31" s="5" t="s">
        <v>61</v>
      </c>
      <c r="N31" s="5" t="s">
        <v>61</v>
      </c>
      <c r="O31" s="5"/>
      <c r="P31" s="5"/>
    </row>
    <row r="32" customFormat="false" ht="37.5" hidden="false" customHeight="true" outlineLevel="0" collapsed="false">
      <c r="A32" s="5" t="s">
        <v>88</v>
      </c>
      <c r="B32" s="5"/>
      <c r="C32" s="5" t="s">
        <v>53</v>
      </c>
      <c r="D32" s="5"/>
      <c r="E32" s="5"/>
      <c r="F32" s="5" t="s">
        <v>22</v>
      </c>
      <c r="G32" s="5"/>
      <c r="H32" s="5"/>
      <c r="I32" s="5"/>
      <c r="J32" s="5"/>
      <c r="K32" s="5"/>
      <c r="L32" s="5"/>
      <c r="M32" s="5" t="s">
        <v>61</v>
      </c>
      <c r="N32" s="5" t="s">
        <v>61</v>
      </c>
      <c r="O32" s="5"/>
      <c r="P32" s="5"/>
    </row>
    <row r="33" customFormat="false" ht="37.5" hidden="false" customHeight="true" outlineLevel="0" collapsed="false">
      <c r="A33" s="5" t="s">
        <v>89</v>
      </c>
      <c r="B33" s="5"/>
      <c r="C33" s="5" t="s">
        <v>53</v>
      </c>
      <c r="D33" s="5"/>
      <c r="E33" s="5"/>
      <c r="F33" s="5" t="s">
        <v>22</v>
      </c>
      <c r="G33" s="5"/>
      <c r="H33" s="5"/>
      <c r="I33" s="5"/>
      <c r="J33" s="5"/>
      <c r="K33" s="5"/>
      <c r="L33" s="5"/>
      <c r="M33" s="5" t="s">
        <v>61</v>
      </c>
      <c r="N33" s="5" t="s">
        <v>61</v>
      </c>
      <c r="O33" s="5"/>
      <c r="P33" s="5"/>
    </row>
    <row r="34" customFormat="false" ht="37.5" hidden="false" customHeight="true" outlineLevel="0" collapsed="false">
      <c r="A34" s="5" t="s">
        <v>90</v>
      </c>
      <c r="B34" s="5"/>
      <c r="C34" s="5" t="s">
        <v>53</v>
      </c>
      <c r="D34" s="5"/>
      <c r="E34" s="5"/>
      <c r="F34" s="5" t="s">
        <v>22</v>
      </c>
      <c r="G34" s="5"/>
      <c r="H34" s="5"/>
      <c r="I34" s="5"/>
      <c r="J34" s="5"/>
      <c r="K34" s="5"/>
      <c r="L34" s="5"/>
      <c r="M34" s="5" t="s">
        <v>61</v>
      </c>
      <c r="N34" s="5" t="s">
        <v>61</v>
      </c>
      <c r="O34" s="5"/>
      <c r="P34" s="5"/>
    </row>
    <row r="35" customFormat="false" ht="37.5" hidden="false" customHeight="true" outlineLevel="0" collapsed="false">
      <c r="A35" s="5" t="s">
        <v>91</v>
      </c>
      <c r="B35" s="5"/>
      <c r="C35" s="5" t="s">
        <v>53</v>
      </c>
      <c r="D35" s="5"/>
      <c r="E35" s="5"/>
      <c r="F35" s="5" t="s">
        <v>22</v>
      </c>
      <c r="G35" s="5"/>
      <c r="H35" s="5"/>
      <c r="I35" s="5"/>
      <c r="J35" s="5"/>
      <c r="K35" s="5"/>
      <c r="L35" s="5"/>
      <c r="M35" s="5" t="s">
        <v>61</v>
      </c>
      <c r="N35" s="5" t="s">
        <v>61</v>
      </c>
      <c r="O35" s="5"/>
      <c r="P35" s="5"/>
    </row>
    <row r="36" customFormat="false" ht="37.5" hidden="false" customHeight="true" outlineLevel="0" collapsed="false">
      <c r="A36" s="5" t="s">
        <v>92</v>
      </c>
      <c r="B36" s="5"/>
      <c r="C36" s="5" t="s">
        <v>53</v>
      </c>
      <c r="D36" s="5"/>
      <c r="E36" s="5"/>
      <c r="F36" s="5" t="s">
        <v>22</v>
      </c>
      <c r="G36" s="5"/>
      <c r="H36" s="5"/>
      <c r="I36" s="5"/>
      <c r="J36" s="5"/>
      <c r="K36" s="5"/>
      <c r="L36" s="5"/>
      <c r="M36" s="5" t="s">
        <v>61</v>
      </c>
      <c r="N36" s="5" t="s">
        <v>61</v>
      </c>
      <c r="O36" s="5"/>
      <c r="P36" s="5"/>
    </row>
    <row r="37" customFormat="false" ht="37.5" hidden="false" customHeight="true" outlineLevel="0" collapsed="false">
      <c r="A37" s="5" t="s">
        <v>93</v>
      </c>
      <c r="B37" s="5"/>
      <c r="C37" s="5" t="s">
        <v>53</v>
      </c>
      <c r="D37" s="5"/>
      <c r="E37" s="5"/>
      <c r="F37" s="5" t="s">
        <v>22</v>
      </c>
      <c r="G37" s="5"/>
      <c r="H37" s="5"/>
      <c r="I37" s="5"/>
      <c r="J37" s="5"/>
      <c r="K37" s="5"/>
      <c r="L37" s="5"/>
      <c r="M37" s="5" t="s">
        <v>61</v>
      </c>
      <c r="N37" s="5" t="s">
        <v>61</v>
      </c>
      <c r="O37" s="5"/>
      <c r="P37" s="5"/>
    </row>
    <row r="38" customFormat="false" ht="37.5" hidden="false" customHeight="true" outlineLevel="0" collapsed="false">
      <c r="A38" s="5" t="s">
        <v>94</v>
      </c>
      <c r="B38" s="5"/>
      <c r="C38" s="5" t="s">
        <v>53</v>
      </c>
      <c r="D38" s="5"/>
      <c r="E38" s="5"/>
      <c r="F38" s="5" t="s">
        <v>22</v>
      </c>
      <c r="G38" s="5"/>
      <c r="H38" s="5"/>
      <c r="I38" s="5"/>
      <c r="J38" s="5"/>
      <c r="K38" s="5"/>
      <c r="L38" s="5"/>
      <c r="M38" s="5" t="s">
        <v>61</v>
      </c>
      <c r="N38" s="5" t="s">
        <v>61</v>
      </c>
      <c r="O38" s="5"/>
      <c r="P38" s="5"/>
    </row>
    <row r="39" customFormat="false" ht="37.5" hidden="false" customHeight="true" outlineLevel="0" collapsed="false">
      <c r="A39" s="5" t="s">
        <v>95</v>
      </c>
      <c r="B39" s="5"/>
      <c r="C39" s="5" t="s">
        <v>53</v>
      </c>
      <c r="D39" s="5"/>
      <c r="E39" s="5"/>
      <c r="F39" s="5" t="s">
        <v>22</v>
      </c>
      <c r="G39" s="5"/>
      <c r="H39" s="5"/>
      <c r="I39" s="5"/>
      <c r="J39" s="5"/>
      <c r="K39" s="5"/>
      <c r="L39" s="5"/>
      <c r="M39" s="5" t="s">
        <v>61</v>
      </c>
      <c r="N39" s="5" t="s">
        <v>61</v>
      </c>
      <c r="O39" s="5"/>
      <c r="P39" s="5"/>
    </row>
    <row r="40" customFormat="false" ht="37.5" hidden="false" customHeight="true" outlineLevel="0" collapsed="false">
      <c r="A40" s="5" t="s">
        <v>96</v>
      </c>
      <c r="B40" s="5"/>
      <c r="C40" s="5" t="s">
        <v>53</v>
      </c>
      <c r="D40" s="5"/>
      <c r="E40" s="5"/>
      <c r="F40" s="5" t="s">
        <v>22</v>
      </c>
      <c r="G40" s="5"/>
      <c r="H40" s="5"/>
      <c r="I40" s="5"/>
      <c r="J40" s="5"/>
      <c r="K40" s="5"/>
      <c r="L40" s="5"/>
      <c r="M40" s="5" t="s">
        <v>61</v>
      </c>
      <c r="N40" s="5" t="s">
        <v>61</v>
      </c>
      <c r="O40" s="5"/>
      <c r="P40" s="5"/>
    </row>
    <row r="41" customFormat="false" ht="37.5" hidden="false" customHeight="true" outlineLevel="0" collapsed="false">
      <c r="A41" s="5" t="s">
        <v>97</v>
      </c>
      <c r="B41" s="5"/>
      <c r="C41" s="5" t="s">
        <v>53</v>
      </c>
      <c r="D41" s="5"/>
      <c r="E41" s="5"/>
      <c r="F41" s="5" t="s">
        <v>22</v>
      </c>
      <c r="G41" s="5"/>
      <c r="H41" s="5"/>
      <c r="I41" s="5"/>
      <c r="J41" s="5"/>
      <c r="K41" s="5"/>
      <c r="L41" s="5"/>
      <c r="M41" s="5" t="s">
        <v>61</v>
      </c>
      <c r="N41" s="5" t="s">
        <v>61</v>
      </c>
      <c r="O41" s="5"/>
      <c r="P41" s="5"/>
    </row>
    <row r="42" customFormat="false" ht="37.5" hidden="false" customHeight="true" outlineLevel="0" collapsed="false">
      <c r="A42" s="5" t="s">
        <v>98</v>
      </c>
      <c r="B42" s="5"/>
      <c r="C42" s="5" t="s">
        <v>53</v>
      </c>
      <c r="D42" s="5"/>
      <c r="E42" s="5"/>
      <c r="F42" s="5" t="s">
        <v>22</v>
      </c>
      <c r="G42" s="5"/>
      <c r="H42" s="5"/>
      <c r="I42" s="5"/>
      <c r="J42" s="5"/>
      <c r="K42" s="5"/>
      <c r="L42" s="5"/>
      <c r="M42" s="5" t="s">
        <v>61</v>
      </c>
      <c r="N42" s="5" t="s">
        <v>61</v>
      </c>
      <c r="O42" s="5"/>
      <c r="P42" s="5"/>
    </row>
    <row r="43" customFormat="false" ht="37.5" hidden="false" customHeight="true" outlineLevel="0" collapsed="false">
      <c r="A43" s="5" t="s">
        <v>99</v>
      </c>
      <c r="B43" s="5"/>
      <c r="C43" s="5" t="s">
        <v>53</v>
      </c>
      <c r="D43" s="5"/>
      <c r="E43" s="5"/>
      <c r="F43" s="5" t="s">
        <v>22</v>
      </c>
      <c r="G43" s="5"/>
      <c r="H43" s="5"/>
      <c r="I43" s="5"/>
      <c r="J43" s="5"/>
      <c r="K43" s="5"/>
      <c r="L43" s="5"/>
      <c r="M43" s="5" t="s">
        <v>61</v>
      </c>
      <c r="N43" s="5" t="s">
        <v>61</v>
      </c>
      <c r="O43" s="5"/>
      <c r="P43" s="5"/>
    </row>
    <row r="44" customFormat="false" ht="37.5" hidden="false" customHeight="true" outlineLevel="0" collapsed="false">
      <c r="A44" s="5" t="s">
        <v>100</v>
      </c>
      <c r="B44" s="5"/>
      <c r="C44" s="5" t="s">
        <v>53</v>
      </c>
      <c r="D44" s="5"/>
      <c r="E44" s="5"/>
      <c r="F44" s="5" t="s">
        <v>22</v>
      </c>
      <c r="G44" s="5"/>
      <c r="H44" s="5"/>
      <c r="I44" s="5"/>
      <c r="J44" s="5"/>
      <c r="K44" s="5"/>
      <c r="L44" s="5"/>
      <c r="M44" s="5" t="s">
        <v>61</v>
      </c>
      <c r="N44" s="5" t="s">
        <v>61</v>
      </c>
      <c r="O44" s="5"/>
      <c r="P44" s="5"/>
    </row>
    <row r="45" customFormat="false" ht="37.5" hidden="false" customHeight="true" outlineLevel="0" collapsed="false">
      <c r="A45" s="5" t="s">
        <v>101</v>
      </c>
      <c r="B45" s="5"/>
      <c r="C45" s="5" t="s">
        <v>53</v>
      </c>
      <c r="D45" s="5"/>
      <c r="E45" s="5"/>
      <c r="F45" s="5" t="s">
        <v>22</v>
      </c>
      <c r="G45" s="5"/>
      <c r="H45" s="5"/>
      <c r="I45" s="5"/>
      <c r="J45" s="5"/>
      <c r="K45" s="5"/>
      <c r="L45" s="5"/>
      <c r="M45" s="5" t="s">
        <v>61</v>
      </c>
      <c r="N45" s="5" t="s">
        <v>61</v>
      </c>
      <c r="O45" s="5"/>
      <c r="P45" s="5"/>
    </row>
    <row r="46" customFormat="false" ht="37.5" hidden="false" customHeight="true" outlineLevel="0" collapsed="false">
      <c r="A46" s="5" t="s">
        <v>102</v>
      </c>
      <c r="B46" s="5"/>
      <c r="C46" s="5" t="s">
        <v>53</v>
      </c>
      <c r="D46" s="5"/>
      <c r="E46" s="5"/>
      <c r="F46" s="5" t="s">
        <v>22</v>
      </c>
      <c r="G46" s="5"/>
      <c r="H46" s="5"/>
      <c r="I46" s="5"/>
      <c r="J46" s="5"/>
      <c r="K46" s="5"/>
      <c r="L46" s="5"/>
      <c r="M46" s="5" t="s">
        <v>61</v>
      </c>
      <c r="N46" s="5" t="s">
        <v>61</v>
      </c>
      <c r="O46" s="5"/>
      <c r="P46" s="5"/>
    </row>
    <row r="47" customFormat="false" ht="37.5" hidden="false" customHeight="true" outlineLevel="0" collapsed="false">
      <c r="A47" s="5" t="s">
        <v>103</v>
      </c>
      <c r="B47" s="5"/>
      <c r="C47" s="5" t="s">
        <v>53</v>
      </c>
      <c r="D47" s="5"/>
      <c r="E47" s="5"/>
      <c r="F47" s="5" t="s">
        <v>22</v>
      </c>
      <c r="G47" s="5"/>
      <c r="H47" s="5"/>
      <c r="I47" s="5"/>
      <c r="J47" s="5"/>
      <c r="K47" s="5"/>
      <c r="L47" s="5"/>
      <c r="M47" s="5" t="s">
        <v>61</v>
      </c>
      <c r="N47" s="5" t="s">
        <v>61</v>
      </c>
      <c r="O47" s="5"/>
      <c r="P47" s="5"/>
    </row>
    <row r="48" customFormat="false" ht="37.5" hidden="false" customHeight="true" outlineLevel="0" collapsed="false">
      <c r="A48" s="5" t="s">
        <v>104</v>
      </c>
      <c r="B48" s="5"/>
      <c r="C48" s="5" t="s">
        <v>53</v>
      </c>
      <c r="D48" s="5"/>
      <c r="E48" s="5"/>
      <c r="F48" s="5" t="s">
        <v>22</v>
      </c>
      <c r="G48" s="5"/>
      <c r="H48" s="5"/>
      <c r="I48" s="5"/>
      <c r="J48" s="5"/>
      <c r="K48" s="5"/>
      <c r="L48" s="5"/>
      <c r="M48" s="5" t="s">
        <v>61</v>
      </c>
      <c r="N48" s="5" t="s">
        <v>61</v>
      </c>
      <c r="O48" s="5"/>
      <c r="P48" s="5"/>
    </row>
    <row r="49" customFormat="false" ht="37.5" hidden="false" customHeight="true" outlineLevel="0" collapsed="false">
      <c r="A49" s="5" t="s">
        <v>105</v>
      </c>
      <c r="B49" s="5"/>
      <c r="C49" s="5" t="s">
        <v>53</v>
      </c>
      <c r="D49" s="5"/>
      <c r="E49" s="5"/>
      <c r="F49" s="5" t="s">
        <v>22</v>
      </c>
      <c r="G49" s="5"/>
      <c r="H49" s="5"/>
      <c r="I49" s="5"/>
      <c r="J49" s="5"/>
      <c r="K49" s="5"/>
      <c r="L49" s="5"/>
      <c r="M49" s="5" t="s">
        <v>61</v>
      </c>
      <c r="N49" s="5" t="s">
        <v>61</v>
      </c>
      <c r="O49" s="5"/>
      <c r="P49" s="5"/>
    </row>
    <row r="50" customFormat="false" ht="37.5" hidden="false" customHeight="true" outlineLevel="0" collapsed="false">
      <c r="A50" s="5" t="s">
        <v>106</v>
      </c>
      <c r="B50" s="5"/>
      <c r="C50" s="5" t="s">
        <v>53</v>
      </c>
      <c r="D50" s="5"/>
      <c r="E50" s="5"/>
      <c r="F50" s="5" t="s">
        <v>22</v>
      </c>
      <c r="G50" s="5"/>
      <c r="H50" s="5"/>
      <c r="I50" s="5"/>
      <c r="J50" s="5"/>
      <c r="K50" s="5"/>
      <c r="L50" s="5"/>
      <c r="M50" s="5" t="s">
        <v>61</v>
      </c>
      <c r="N50" s="5" t="s">
        <v>61</v>
      </c>
      <c r="O50" s="5"/>
      <c r="P50" s="5"/>
    </row>
    <row r="51" customFormat="false" ht="37.5" hidden="false" customHeight="true" outlineLevel="0" collapsed="false">
      <c r="A51" s="5" t="s">
        <v>107</v>
      </c>
      <c r="B51" s="5"/>
      <c r="C51" s="5" t="s">
        <v>53</v>
      </c>
      <c r="D51" s="5"/>
      <c r="E51" s="5"/>
      <c r="F51" s="5" t="s">
        <v>22</v>
      </c>
      <c r="G51" s="5"/>
      <c r="H51" s="5"/>
      <c r="I51" s="5"/>
      <c r="J51" s="5"/>
      <c r="K51" s="5"/>
      <c r="L51" s="5"/>
      <c r="M51" s="5" t="s">
        <v>61</v>
      </c>
      <c r="N51" s="5" t="s">
        <v>61</v>
      </c>
      <c r="O51" s="5"/>
      <c r="P51" s="5"/>
    </row>
    <row r="52" customFormat="false" ht="37.5" hidden="false" customHeight="true" outlineLevel="0" collapsed="false">
      <c r="A52" s="5" t="s">
        <v>108</v>
      </c>
      <c r="B52" s="5"/>
      <c r="C52" s="5" t="s">
        <v>53</v>
      </c>
      <c r="D52" s="5"/>
      <c r="E52" s="5"/>
      <c r="F52" s="5" t="s">
        <v>22</v>
      </c>
      <c r="G52" s="5"/>
      <c r="H52" s="5"/>
      <c r="I52" s="5"/>
      <c r="J52" s="5"/>
      <c r="K52" s="5"/>
      <c r="L52" s="5"/>
      <c r="M52" s="5" t="s">
        <v>61</v>
      </c>
      <c r="N52" s="5" t="s">
        <v>61</v>
      </c>
      <c r="O52" s="5"/>
      <c r="P52" s="5"/>
    </row>
    <row r="53" customFormat="false" ht="15.75" hidden="false" customHeight="true" outlineLevel="0" collapsed="false">
      <c r="A53" s="6" t="s">
        <v>109</v>
      </c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customFormat="false" ht="37.5" hidden="false" customHeight="true" outlineLevel="0" collapsed="false">
      <c r="A54" s="7" t="s">
        <v>110</v>
      </c>
      <c r="B54" s="7" t="s">
        <v>18</v>
      </c>
      <c r="C54" s="7" t="s">
        <v>53</v>
      </c>
      <c r="D54" s="7" t="s">
        <v>111</v>
      </c>
      <c r="E54" s="7" t="s">
        <v>112</v>
      </c>
      <c r="F54" s="7" t="s">
        <v>113</v>
      </c>
      <c r="G54" s="7" t="s">
        <v>114</v>
      </c>
      <c r="H54" s="7" t="s">
        <v>115</v>
      </c>
      <c r="I54" s="7" t="s">
        <v>116</v>
      </c>
      <c r="J54" s="7" t="s">
        <v>117</v>
      </c>
      <c r="K54" s="7" t="s">
        <v>118</v>
      </c>
      <c r="L54" s="7" t="s">
        <v>119</v>
      </c>
      <c r="M54" s="7" t="s">
        <v>61</v>
      </c>
      <c r="N54" s="7" t="s">
        <v>29</v>
      </c>
      <c r="O54" s="7" t="s">
        <v>120</v>
      </c>
      <c r="P54" s="7" t="s">
        <v>121</v>
      </c>
    </row>
    <row r="55" customFormat="false" ht="37.5" hidden="false" customHeight="true" outlineLevel="0" collapsed="false">
      <c r="A55" s="7" t="s">
        <v>122</v>
      </c>
      <c r="B55" s="7" t="s">
        <v>52</v>
      </c>
      <c r="C55" s="7" t="s">
        <v>53</v>
      </c>
      <c r="D55" s="7" t="s">
        <v>123</v>
      </c>
      <c r="E55" s="7" t="s">
        <v>124</v>
      </c>
      <c r="F55" s="7" t="s">
        <v>113</v>
      </c>
      <c r="G55" s="7" t="s">
        <v>114</v>
      </c>
      <c r="H55" s="7" t="s">
        <v>125</v>
      </c>
      <c r="I55" s="7" t="s">
        <v>126</v>
      </c>
      <c r="J55" s="7" t="s">
        <v>127</v>
      </c>
      <c r="K55" s="7" t="s">
        <v>128</v>
      </c>
      <c r="L55" s="7" t="s">
        <v>129</v>
      </c>
      <c r="M55" s="7" t="s">
        <v>61</v>
      </c>
      <c r="N55" s="7" t="s">
        <v>29</v>
      </c>
      <c r="O55" s="7"/>
      <c r="P55" s="7" t="s">
        <v>130</v>
      </c>
    </row>
    <row r="56" customFormat="false" ht="37.5" hidden="false" customHeight="true" outlineLevel="0" collapsed="false">
      <c r="A56" s="7" t="s">
        <v>131</v>
      </c>
      <c r="B56" s="7" t="s">
        <v>52</v>
      </c>
      <c r="C56" s="7" t="s">
        <v>53</v>
      </c>
      <c r="D56" s="7" t="s">
        <v>132</v>
      </c>
      <c r="E56" s="7" t="s">
        <v>133</v>
      </c>
      <c r="F56" s="7" t="s">
        <v>134</v>
      </c>
      <c r="G56" s="7" t="s">
        <v>114</v>
      </c>
      <c r="H56" s="7" t="s">
        <v>134</v>
      </c>
      <c r="I56" s="7" t="s">
        <v>135</v>
      </c>
      <c r="J56" s="7" t="s">
        <v>136</v>
      </c>
      <c r="K56" s="7" t="s">
        <v>137</v>
      </c>
      <c r="L56" s="7" t="s">
        <v>138</v>
      </c>
      <c r="M56" s="7" t="s">
        <v>61</v>
      </c>
      <c r="N56" s="7" t="s">
        <v>61</v>
      </c>
      <c r="O56" s="7" t="s">
        <v>139</v>
      </c>
      <c r="P56" s="7" t="s">
        <v>140</v>
      </c>
    </row>
    <row r="57" customFormat="false" ht="37.5" hidden="false" customHeight="true" outlineLevel="0" collapsed="false">
      <c r="A57" s="7" t="s">
        <v>141</v>
      </c>
      <c r="B57" s="7"/>
      <c r="C57" s="7" t="s">
        <v>53</v>
      </c>
      <c r="D57" s="7"/>
      <c r="E57" s="7"/>
      <c r="F57" s="7" t="s">
        <v>113</v>
      </c>
      <c r="G57" s="7" t="s">
        <v>114</v>
      </c>
      <c r="H57" s="7"/>
      <c r="I57" s="7"/>
      <c r="J57" s="7"/>
      <c r="K57" s="7"/>
      <c r="L57" s="7"/>
      <c r="M57" s="7" t="s">
        <v>61</v>
      </c>
      <c r="N57" s="7" t="s">
        <v>61</v>
      </c>
      <c r="O57" s="7"/>
      <c r="P57" s="7"/>
    </row>
    <row r="58" customFormat="false" ht="37.5" hidden="false" customHeight="true" outlineLevel="0" collapsed="false">
      <c r="A58" s="7" t="s">
        <v>142</v>
      </c>
      <c r="B58" s="7"/>
      <c r="C58" s="7" t="s">
        <v>53</v>
      </c>
      <c r="D58" s="7"/>
      <c r="E58" s="7"/>
      <c r="F58" s="7" t="s">
        <v>113</v>
      </c>
      <c r="G58" s="7" t="s">
        <v>114</v>
      </c>
      <c r="H58" s="7"/>
      <c r="I58" s="7"/>
      <c r="J58" s="7"/>
      <c r="K58" s="7"/>
      <c r="L58" s="7"/>
      <c r="M58" s="7" t="s">
        <v>61</v>
      </c>
      <c r="N58" s="7" t="s">
        <v>61</v>
      </c>
      <c r="O58" s="7"/>
      <c r="P58" s="7"/>
    </row>
    <row r="59" customFormat="false" ht="37.5" hidden="false" customHeight="true" outlineLevel="0" collapsed="false">
      <c r="A59" s="7" t="s">
        <v>143</v>
      </c>
      <c r="B59" s="7"/>
      <c r="C59" s="7" t="s">
        <v>53</v>
      </c>
      <c r="D59" s="7"/>
      <c r="E59" s="7"/>
      <c r="F59" s="7" t="s">
        <v>113</v>
      </c>
      <c r="G59" s="7" t="s">
        <v>114</v>
      </c>
      <c r="H59" s="7"/>
      <c r="I59" s="7"/>
      <c r="J59" s="7"/>
      <c r="K59" s="7"/>
      <c r="L59" s="7"/>
      <c r="M59" s="7" t="s">
        <v>61</v>
      </c>
      <c r="N59" s="7" t="s">
        <v>61</v>
      </c>
      <c r="O59" s="7"/>
      <c r="P59" s="7"/>
    </row>
    <row r="60" customFormat="false" ht="37.5" hidden="false" customHeight="true" outlineLevel="0" collapsed="false">
      <c r="A60" s="7" t="s">
        <v>144</v>
      </c>
      <c r="B60" s="7"/>
      <c r="C60" s="7" t="s">
        <v>53</v>
      </c>
      <c r="D60" s="7"/>
      <c r="E60" s="7"/>
      <c r="F60" s="7" t="s">
        <v>113</v>
      </c>
      <c r="G60" s="7" t="s">
        <v>114</v>
      </c>
      <c r="H60" s="7"/>
      <c r="I60" s="7"/>
      <c r="J60" s="7"/>
      <c r="K60" s="7"/>
      <c r="L60" s="7"/>
      <c r="M60" s="7" t="s">
        <v>61</v>
      </c>
      <c r="N60" s="7" t="s">
        <v>61</v>
      </c>
      <c r="O60" s="7"/>
      <c r="P60" s="7"/>
    </row>
    <row r="61" customFormat="false" ht="37.5" hidden="false" customHeight="true" outlineLevel="0" collapsed="false">
      <c r="A61" s="7" t="s">
        <v>145</v>
      </c>
      <c r="B61" s="7"/>
      <c r="C61" s="7" t="s">
        <v>53</v>
      </c>
      <c r="D61" s="7"/>
      <c r="E61" s="7"/>
      <c r="F61" s="7" t="s">
        <v>113</v>
      </c>
      <c r="G61" s="7" t="s">
        <v>114</v>
      </c>
      <c r="H61" s="7"/>
      <c r="I61" s="7"/>
      <c r="J61" s="7"/>
      <c r="K61" s="7"/>
      <c r="L61" s="7"/>
      <c r="M61" s="7" t="s">
        <v>61</v>
      </c>
      <c r="N61" s="7" t="s">
        <v>61</v>
      </c>
      <c r="O61" s="7"/>
      <c r="P61" s="7"/>
    </row>
    <row r="62" customFormat="false" ht="37.5" hidden="false" customHeight="true" outlineLevel="0" collapsed="false">
      <c r="A62" s="7" t="s">
        <v>146</v>
      </c>
      <c r="B62" s="7"/>
      <c r="C62" s="7" t="s">
        <v>53</v>
      </c>
      <c r="D62" s="7"/>
      <c r="E62" s="7"/>
      <c r="F62" s="7" t="s">
        <v>113</v>
      </c>
      <c r="G62" s="7" t="s">
        <v>114</v>
      </c>
      <c r="H62" s="7"/>
      <c r="I62" s="7"/>
      <c r="J62" s="7"/>
      <c r="K62" s="7"/>
      <c r="L62" s="7"/>
      <c r="M62" s="7" t="s">
        <v>61</v>
      </c>
      <c r="N62" s="7" t="s">
        <v>61</v>
      </c>
      <c r="O62" s="7"/>
      <c r="P62" s="7"/>
    </row>
    <row r="63" customFormat="false" ht="37.5" hidden="false" customHeight="true" outlineLevel="0" collapsed="false">
      <c r="A63" s="7" t="s">
        <v>147</v>
      </c>
      <c r="B63" s="7"/>
      <c r="C63" s="7" t="s">
        <v>53</v>
      </c>
      <c r="D63" s="7"/>
      <c r="E63" s="7"/>
      <c r="F63" s="7" t="s">
        <v>113</v>
      </c>
      <c r="G63" s="7" t="s">
        <v>114</v>
      </c>
      <c r="H63" s="7"/>
      <c r="I63" s="7"/>
      <c r="J63" s="7"/>
      <c r="K63" s="7"/>
      <c r="L63" s="7"/>
      <c r="M63" s="7" t="s">
        <v>61</v>
      </c>
      <c r="N63" s="7" t="s">
        <v>61</v>
      </c>
      <c r="O63" s="7"/>
      <c r="P63" s="7"/>
    </row>
    <row r="64" customFormat="false" ht="37.5" hidden="false" customHeight="true" outlineLevel="0" collapsed="false">
      <c r="A64" s="7" t="s">
        <v>148</v>
      </c>
      <c r="B64" s="7"/>
      <c r="C64" s="7" t="s">
        <v>53</v>
      </c>
      <c r="D64" s="7"/>
      <c r="E64" s="7"/>
      <c r="F64" s="7" t="s">
        <v>113</v>
      </c>
      <c r="G64" s="7" t="s">
        <v>114</v>
      </c>
      <c r="H64" s="7"/>
      <c r="I64" s="7"/>
      <c r="J64" s="7"/>
      <c r="K64" s="7"/>
      <c r="L64" s="7"/>
      <c r="M64" s="7" t="s">
        <v>61</v>
      </c>
      <c r="N64" s="7" t="s">
        <v>61</v>
      </c>
      <c r="O64" s="7"/>
      <c r="P64" s="7"/>
    </row>
    <row r="65" customFormat="false" ht="37.5" hidden="false" customHeight="true" outlineLevel="0" collapsed="false">
      <c r="A65" s="7" t="s">
        <v>149</v>
      </c>
      <c r="B65" s="7"/>
      <c r="C65" s="7" t="s">
        <v>53</v>
      </c>
      <c r="D65" s="7"/>
      <c r="E65" s="7"/>
      <c r="F65" s="7" t="s">
        <v>113</v>
      </c>
      <c r="G65" s="7" t="s">
        <v>114</v>
      </c>
      <c r="H65" s="7"/>
      <c r="I65" s="7"/>
      <c r="J65" s="7"/>
      <c r="K65" s="7"/>
      <c r="L65" s="7"/>
      <c r="M65" s="7" t="s">
        <v>61</v>
      </c>
      <c r="N65" s="7" t="s">
        <v>61</v>
      </c>
      <c r="O65" s="7"/>
      <c r="P65" s="7"/>
    </row>
    <row r="66" customFormat="false" ht="37.5" hidden="false" customHeight="true" outlineLevel="0" collapsed="false">
      <c r="A66" s="7" t="s">
        <v>150</v>
      </c>
      <c r="B66" s="7"/>
      <c r="C66" s="7" t="s">
        <v>53</v>
      </c>
      <c r="D66" s="7"/>
      <c r="E66" s="7"/>
      <c r="F66" s="7" t="s">
        <v>113</v>
      </c>
      <c r="G66" s="7" t="s">
        <v>114</v>
      </c>
      <c r="H66" s="7"/>
      <c r="I66" s="7"/>
      <c r="J66" s="7"/>
      <c r="K66" s="7"/>
      <c r="L66" s="7"/>
      <c r="M66" s="7" t="s">
        <v>61</v>
      </c>
      <c r="N66" s="7" t="s">
        <v>61</v>
      </c>
      <c r="O66" s="7"/>
      <c r="P66" s="7"/>
    </row>
    <row r="67" customFormat="false" ht="37.5" hidden="false" customHeight="true" outlineLevel="0" collapsed="false">
      <c r="A67" s="7" t="s">
        <v>151</v>
      </c>
      <c r="B67" s="7"/>
      <c r="C67" s="7" t="s">
        <v>53</v>
      </c>
      <c r="D67" s="7"/>
      <c r="E67" s="7"/>
      <c r="F67" s="7" t="s">
        <v>113</v>
      </c>
      <c r="G67" s="7" t="s">
        <v>114</v>
      </c>
      <c r="H67" s="7"/>
      <c r="I67" s="7"/>
      <c r="J67" s="7"/>
      <c r="K67" s="7"/>
      <c r="L67" s="7"/>
      <c r="M67" s="7" t="s">
        <v>61</v>
      </c>
      <c r="N67" s="7" t="s">
        <v>61</v>
      </c>
      <c r="O67" s="7"/>
      <c r="P67" s="7"/>
    </row>
    <row r="68" customFormat="false" ht="37.5" hidden="false" customHeight="true" outlineLevel="0" collapsed="false">
      <c r="A68" s="7" t="s">
        <v>152</v>
      </c>
      <c r="B68" s="7"/>
      <c r="C68" s="7" t="s">
        <v>53</v>
      </c>
      <c r="D68" s="7"/>
      <c r="E68" s="7"/>
      <c r="F68" s="7" t="s">
        <v>113</v>
      </c>
      <c r="G68" s="7" t="s">
        <v>114</v>
      </c>
      <c r="H68" s="7"/>
      <c r="I68" s="7"/>
      <c r="J68" s="7"/>
      <c r="K68" s="7"/>
      <c r="L68" s="7"/>
      <c r="M68" s="7" t="s">
        <v>61</v>
      </c>
      <c r="N68" s="7" t="s">
        <v>61</v>
      </c>
      <c r="O68" s="7"/>
      <c r="P68" s="7"/>
    </row>
  </sheetData>
  <mergeCells count="2">
    <mergeCell ref="A2:P2"/>
    <mergeCell ref="A53:P53"/>
  </mergeCells>
  <dataValidations count="7">
    <dataValidation allowBlank="true" errorStyle="stop" operator="between" showDropDown="false" showErrorMessage="false" showInputMessage="false" sqref="B3:B200" type="list">
      <formula1>"A - Core,B - Important,C - Method,D - Background"</formula1>
      <formula2>0</formula2>
    </dataValidation>
    <dataValidation allowBlank="true" errorStyle="stop" operator="between" showDropDown="false" showErrorMessage="false" showInputMessage="false" sqref="C3:C200" type="list">
      <formula1>"Not read,Skimmed,Reading,Read,Cited"</formula1>
      <formula2>0</formula2>
    </dataValidation>
    <dataValidation allowBlank="true" errorStyle="stop" operator="between" showDropDown="false" showErrorMessage="false" showInputMessage="false" sqref="F3:F200" type="list">
      <formula1>"Journal,Conference,Preprint,Report,Government report,Industry report,Dataset,Working Paper"</formula1>
      <formula2>0</formula2>
    </dataValidation>
    <dataValidation allowBlank="true" errorStyle="stop" operator="between" showDropDown="false" showErrorMessage="false" showInputMessage="false" sqref="G3:G200" type="list">
      <formula1>"Location-Allocation,Demand Estimation,Spatial Equity,Policy/Context"</formula1>
      <formula2>0</formula2>
    </dataValidation>
    <dataValidation allowBlank="true" errorStyle="stop" operator="between" showDropDown="false" showErrorMessage="false" showInputMessage="false" sqref="L3:L200" type="list">
      <formula1>"Intro,Lit Review,Method,Discussion,Dataset,Appendix,Backup"</formula1>
      <formula2>0</formula2>
    </dataValidation>
    <dataValidation allowBlank="true" errorStyle="stop" operator="between" showDropDown="false" showErrorMessage="false" showInputMessage="false" sqref="M3:M200" type="list">
      <formula1>"Yes,No"</formula1>
      <formula2>0</formula2>
    </dataValidation>
    <dataValidation allowBlank="true" errorStyle="stop" operator="between" showDropDown="false" showErrorMessage="false" showInputMessage="false" sqref="N3:N20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4" min="4" style="0" width="24"/>
    <col collapsed="false" customWidth="true" hidden="false" outlineLevel="0" max="5" min="5" style="0" width="50"/>
  </cols>
  <sheetData>
    <row r="1" customFormat="false" ht="19.5" hidden="false" customHeight="true" outlineLevel="0" collapsed="false">
      <c r="A1" s="8" t="s">
        <v>153</v>
      </c>
      <c r="B1" s="8"/>
      <c r="D1" s="8" t="s">
        <v>154</v>
      </c>
      <c r="E1" s="8"/>
    </row>
    <row r="2" customFormat="false" ht="18" hidden="false" customHeight="true" outlineLevel="0" collapsed="false">
      <c r="A2" s="9" t="s">
        <v>155</v>
      </c>
      <c r="B2" s="10" t="n">
        <f aca="false">COUNTIF('Literature Matrix'!A3:A300,"P*")</f>
        <v>50</v>
      </c>
      <c r="D2" s="11" t="s">
        <v>156</v>
      </c>
      <c r="E2" s="11"/>
    </row>
    <row r="3" customFormat="false" ht="18" hidden="false" customHeight="true" outlineLevel="0" collapsed="false">
      <c r="A3" s="9" t="s">
        <v>157</v>
      </c>
      <c r="B3" s="10" t="n">
        <f aca="false">COUNTIF('Literature Matrix'!A3:A300,"R*")</f>
        <v>15</v>
      </c>
      <c r="D3" s="11" t="s">
        <v>158</v>
      </c>
      <c r="E3" s="11"/>
    </row>
    <row r="4" customFormat="false" ht="18" hidden="false" customHeight="true" outlineLevel="0" collapsed="false">
      <c r="A4" s="9" t="s">
        <v>159</v>
      </c>
      <c r="B4" s="10" t="n">
        <f aca="false">B2+B3</f>
        <v>65</v>
      </c>
      <c r="D4" s="11" t="s">
        <v>160</v>
      </c>
      <c r="E4" s="11"/>
    </row>
    <row r="5" customFormat="false" ht="18" hidden="false" customHeight="true" outlineLevel="0" collapsed="false">
      <c r="D5" s="11" t="s">
        <v>161</v>
      </c>
      <c r="E5" s="11"/>
    </row>
    <row r="6" customFormat="false" ht="18" hidden="false" customHeight="true" outlineLevel="0" collapsed="false">
      <c r="A6" s="8" t="s">
        <v>162</v>
      </c>
      <c r="B6" s="8"/>
      <c r="D6" s="11" t="s">
        <v>163</v>
      </c>
      <c r="E6" s="11"/>
    </row>
    <row r="7" customFormat="false" ht="18" hidden="false" customHeight="true" outlineLevel="0" collapsed="false">
      <c r="A7" s="9" t="s">
        <v>18</v>
      </c>
      <c r="B7" s="10" t="n">
        <f aca="false">COUNTIF('Literature Matrix'!B3:B300,"A - Core")</f>
        <v>4</v>
      </c>
      <c r="D7" s="11" t="s">
        <v>164</v>
      </c>
      <c r="E7" s="11"/>
    </row>
    <row r="8" customFormat="false" ht="18" hidden="false" customHeight="true" outlineLevel="0" collapsed="false">
      <c r="A8" s="9" t="s">
        <v>52</v>
      </c>
      <c r="B8" s="10" t="n">
        <f aca="false">COUNTIF('Literature Matrix'!B3:B300,"B - Important")</f>
        <v>3</v>
      </c>
    </row>
    <row r="9" customFormat="false" ht="18" hidden="false" customHeight="true" outlineLevel="0" collapsed="false">
      <c r="A9" s="9" t="s">
        <v>165</v>
      </c>
      <c r="B9" s="10" t="n">
        <f aca="false">COUNTIF('Literature Matrix'!B3:B300,"C - Method")</f>
        <v>0</v>
      </c>
    </row>
    <row r="10" customFormat="false" ht="18" hidden="false" customHeight="true" outlineLevel="0" collapsed="false">
      <c r="A10" s="9" t="s">
        <v>166</v>
      </c>
      <c r="B10" s="10" t="n">
        <f aca="false">COUNTIF('Literature Matrix'!B3:B300,"D - Background")</f>
        <v>0</v>
      </c>
    </row>
    <row r="12" customFormat="false" ht="19.5" hidden="false" customHeight="true" outlineLevel="0" collapsed="false">
      <c r="A12" s="8" t="s">
        <v>167</v>
      </c>
      <c r="B12" s="8"/>
    </row>
    <row r="13" customFormat="false" ht="18" hidden="false" customHeight="true" outlineLevel="0" collapsed="false">
      <c r="A13" s="9" t="s">
        <v>53</v>
      </c>
      <c r="B13" s="10" t="n">
        <f aca="false">COUNTIF('Literature Matrix'!C3:C300,"Not read")</f>
        <v>62</v>
      </c>
    </row>
    <row r="14" customFormat="false" ht="18" hidden="false" customHeight="true" outlineLevel="0" collapsed="false">
      <c r="A14" s="9" t="s">
        <v>19</v>
      </c>
      <c r="B14" s="10" t="n">
        <f aca="false">COUNTIF('Literature Matrix'!C3:C300,"Skimmed")</f>
        <v>3</v>
      </c>
    </row>
    <row r="15" customFormat="false" ht="18" hidden="false" customHeight="true" outlineLevel="0" collapsed="false">
      <c r="A15" s="9" t="s">
        <v>168</v>
      </c>
      <c r="B15" s="10" t="n">
        <f aca="false">COUNTIF('Literature Matrix'!C3:C300,"Reading")</f>
        <v>0</v>
      </c>
    </row>
    <row r="16" customFormat="false" ht="18" hidden="false" customHeight="true" outlineLevel="0" collapsed="false">
      <c r="A16" s="9" t="s">
        <v>169</v>
      </c>
      <c r="B16" s="10" t="n">
        <f aca="false">COUNTIF('Literature Matrix'!C3:C300,"Read")</f>
        <v>0</v>
      </c>
    </row>
    <row r="17" customFormat="false" ht="18" hidden="false" customHeight="true" outlineLevel="0" collapsed="false">
      <c r="A17" s="9" t="s">
        <v>170</v>
      </c>
      <c r="B17" s="10" t="n">
        <f aca="false">COUNTIF('Literature Matrix'!C3:C300,"Cited")</f>
        <v>0</v>
      </c>
    </row>
    <row r="19" customFormat="false" ht="19.5" hidden="false" customHeight="true" outlineLevel="0" collapsed="false">
      <c r="A19" s="8" t="s">
        <v>171</v>
      </c>
      <c r="B19" s="8"/>
    </row>
    <row r="20" customFormat="false" ht="18" hidden="false" customHeight="true" outlineLevel="0" collapsed="false">
      <c r="A20" s="9" t="s">
        <v>23</v>
      </c>
      <c r="B20" s="10" t="n">
        <f aca="false">COUNTIF('Literature Matrix'!G3:G300,"Location-Allocation")</f>
        <v>3</v>
      </c>
    </row>
    <row r="21" customFormat="false" ht="18" hidden="false" customHeight="true" outlineLevel="0" collapsed="false">
      <c r="A21" s="9" t="s">
        <v>44</v>
      </c>
      <c r="B21" s="10" t="n">
        <f aca="false">COUNTIF('Literature Matrix'!G3:G300,"Demand Estimation")</f>
        <v>1</v>
      </c>
    </row>
    <row r="22" customFormat="false" ht="18" hidden="false" customHeight="true" outlineLevel="0" collapsed="false">
      <c r="A22" s="9" t="s">
        <v>172</v>
      </c>
      <c r="B22" s="10" t="n">
        <f aca="false">COUNTIF('Literature Matrix'!G3:G300,"Spatial Equity")</f>
        <v>0</v>
      </c>
    </row>
    <row r="23" customFormat="false" ht="18" hidden="false" customHeight="true" outlineLevel="0" collapsed="false">
      <c r="A23" s="9" t="s">
        <v>114</v>
      </c>
      <c r="B23" s="10" t="n">
        <f aca="false">COUNTIF('Literature Matrix'!G3:G300,"Policy/Context")</f>
        <v>15</v>
      </c>
    </row>
  </sheetData>
  <mergeCells count="11">
    <mergeCell ref="A1:B1"/>
    <mergeCell ref="D1:E1"/>
    <mergeCell ref="D2:E2"/>
    <mergeCell ref="D3:E3"/>
    <mergeCell ref="D4:E4"/>
    <mergeCell ref="D5:E5"/>
    <mergeCell ref="A6:B6"/>
    <mergeCell ref="D6:E6"/>
    <mergeCell ref="D7:E7"/>
    <mergeCell ref="A12:B12"/>
    <mergeCell ref="A19:B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15" hidden="false" customHeight="false" outlineLevel="0" collapsed="false">
      <c r="A1" s="12" t="s">
        <v>1</v>
      </c>
      <c r="B1" s="12" t="s">
        <v>2</v>
      </c>
      <c r="C1" s="12" t="s">
        <v>5</v>
      </c>
      <c r="D1" s="12" t="s">
        <v>6</v>
      </c>
      <c r="E1" s="12" t="s">
        <v>11</v>
      </c>
      <c r="F1" s="12" t="s">
        <v>173</v>
      </c>
    </row>
    <row r="2" customFormat="false" ht="15" hidden="false" customHeight="false" outlineLevel="0" collapsed="false">
      <c r="A2" s="13" t="s">
        <v>18</v>
      </c>
      <c r="B2" s="13" t="s">
        <v>53</v>
      </c>
      <c r="C2" s="13" t="s">
        <v>22</v>
      </c>
      <c r="D2" s="13" t="s">
        <v>23</v>
      </c>
      <c r="E2" s="13" t="s">
        <v>138</v>
      </c>
      <c r="F2" s="13" t="s">
        <v>29</v>
      </c>
    </row>
    <row r="3" customFormat="false" ht="15" hidden="false" customHeight="false" outlineLevel="0" collapsed="false">
      <c r="A3" s="13" t="s">
        <v>52</v>
      </c>
      <c r="B3" s="13" t="s">
        <v>19</v>
      </c>
      <c r="C3" s="13" t="s">
        <v>174</v>
      </c>
      <c r="D3" s="13" t="s">
        <v>44</v>
      </c>
      <c r="E3" s="13" t="s">
        <v>60</v>
      </c>
      <c r="F3" s="13" t="s">
        <v>61</v>
      </c>
    </row>
    <row r="4" customFormat="false" ht="15" hidden="false" customHeight="false" outlineLevel="0" collapsed="false">
      <c r="A4" s="13" t="s">
        <v>165</v>
      </c>
      <c r="B4" s="13" t="s">
        <v>168</v>
      </c>
      <c r="C4" s="13" t="s">
        <v>175</v>
      </c>
      <c r="D4" s="13" t="s">
        <v>172</v>
      </c>
      <c r="E4" s="13" t="s">
        <v>7</v>
      </c>
    </row>
    <row r="5" customFormat="false" ht="15" hidden="false" customHeight="false" outlineLevel="0" collapsed="false">
      <c r="A5" s="13" t="s">
        <v>166</v>
      </c>
      <c r="B5" s="13" t="s">
        <v>169</v>
      </c>
      <c r="C5" s="13" t="s">
        <v>176</v>
      </c>
      <c r="D5" s="13" t="s">
        <v>114</v>
      </c>
      <c r="E5" s="13" t="s">
        <v>129</v>
      </c>
    </row>
    <row r="6" customFormat="false" ht="15" hidden="false" customHeight="false" outlineLevel="0" collapsed="false">
      <c r="B6" s="13" t="s">
        <v>170</v>
      </c>
      <c r="C6" s="13" t="s">
        <v>113</v>
      </c>
      <c r="E6" s="13" t="s">
        <v>177</v>
      </c>
    </row>
    <row r="7" customFormat="false" ht="15" hidden="false" customHeight="false" outlineLevel="0" collapsed="false">
      <c r="C7" s="13" t="s">
        <v>134</v>
      </c>
      <c r="E7" s="13" t="s">
        <v>178</v>
      </c>
    </row>
    <row r="8" customFormat="false" ht="15" hidden="false" customHeight="false" outlineLevel="0" collapsed="false">
      <c r="C8" s="13" t="s">
        <v>177</v>
      </c>
      <c r="E8" s="13" t="s">
        <v>179</v>
      </c>
    </row>
    <row r="9" customFormat="false" ht="15" hidden="false" customHeight="false" outlineLevel="0" collapsed="false">
      <c r="C9" s="13" t="s">
        <v>180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2026-06-13T17:55:31Z</dcterms:created>
  <dc:creator>openpyxl</dc:creator>
  <dc:description/>
  <dc:language>en-US</dc:language>
  <cp:lastModifiedBy/>
  <dcterms:modified xsi:type="dcterms:W3CDTF">2026-06-13T17:55:37Z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