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lexia/Desktop/"/>
    </mc:Choice>
  </mc:AlternateContent>
  <xr:revisionPtr revIDLastSave="0" documentId="13_ncr:1_{BDD10372-88EF-AC42-B79B-B300B9095931}" xr6:coauthVersionLast="47" xr6:coauthVersionMax="47" xr10:uidLastSave="{00000000-0000-0000-0000-000000000000}"/>
  <bookViews>
    <workbookView xWindow="3560" yWindow="2920" windowWidth="22000" windowHeight="13280" tabRatio="500" xr2:uid="{00000000-000D-0000-FFFF-FFFF00000000}"/>
  </bookViews>
  <sheets>
    <sheet name="Literature Matrix" sheetId="1" r:id="rId1"/>
    <sheet name="Summary" sheetId="2" r:id="rId2"/>
    <sheet name="List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2" l="1"/>
  <c r="B22" i="2"/>
  <c r="B21" i="2"/>
  <c r="B20" i="2"/>
  <c r="B17" i="2"/>
  <c r="B16" i="2"/>
  <c r="B15" i="2"/>
  <c r="B14" i="2"/>
  <c r="B13" i="2"/>
  <c r="B10" i="2"/>
  <c r="B9" i="2"/>
  <c r="B8" i="2"/>
  <c r="B7" i="2"/>
  <c r="B3" i="2"/>
  <c r="B2" i="2"/>
  <c r="B4" i="2" s="1"/>
</calcChain>
</file>

<file path=xl/sharedStrings.xml><?xml version="1.0" encoding="utf-8"?>
<sst xmlns="http://schemas.openxmlformats.org/spreadsheetml/2006/main" count="592" uniqueCount="262">
  <si>
    <t>ID</t>
  </si>
  <si>
    <t>Priority</t>
  </si>
  <si>
    <t>Status</t>
  </si>
  <si>
    <t>Author Year</t>
  </si>
  <si>
    <t>Title</t>
  </si>
  <si>
    <t>Type</t>
  </si>
  <si>
    <t>Theme</t>
  </si>
  <si>
    <t>Method</t>
  </si>
  <si>
    <t>Key Finding</t>
  </si>
  <si>
    <t>Relevance to Thesis</t>
  </si>
  <si>
    <t>Limitation</t>
  </si>
  <si>
    <t>Use in Thesis</t>
  </si>
  <si>
    <t>Citation Checked</t>
  </si>
  <si>
    <t>PDF Saved</t>
  </si>
  <si>
    <t>Source URL</t>
  </si>
  <si>
    <t>Notes File</t>
  </si>
  <si>
    <t>▼  Academic Papers  (P-series)</t>
  </si>
  <si>
    <t>P001</t>
  </si>
  <si>
    <t>A - Core</t>
  </si>
  <si>
    <t>Skimmed</t>
  </si>
  <si>
    <t>Vazifeh et al. (2019)</t>
  </si>
  <si>
    <t>Optimising the deployment of EV charging stations</t>
  </si>
  <si>
    <t>Journal</t>
  </si>
  <si>
    <t>Location-Allocation</t>
  </si>
  <si>
    <t>Set-covering, ILP</t>
  </si>
  <si>
    <t>Time-robust static coverage formulation</t>
  </si>
  <si>
    <t>Baseline set-covering model for this study</t>
  </si>
  <si>
    <t>Static demand assumption</t>
  </si>
  <si>
    <t>Intro / Method</t>
  </si>
  <si>
    <t>Yes</t>
  </si>
  <si>
    <t>https://doi.org/10.1016/j.tra.2019.01.002</t>
  </si>
  <si>
    <t>P002</t>
  </si>
  <si>
    <t>He et al. (2022)</t>
  </si>
  <si>
    <t>The spatial planning of public electric vehicle charging infrastructure in a high-density city using a contextualised location-allocation model</t>
  </si>
  <si>
    <t>Capacitated MILP, CPLEX</t>
  </si>
  <si>
    <t>Adds capacity + planning constraints to LA model</t>
  </si>
  <si>
    <t>Direct source for planning-realistic p-median design</t>
  </si>
  <si>
    <t>No equity/deprivation term</t>
  </si>
  <si>
    <t>Intro / Method / Discussion</t>
  </si>
  <si>
    <t>https://doi.org/10.1016/j.tra.2022.02.012</t>
  </si>
  <si>
    <t>P003</t>
  </si>
  <si>
    <t>Lu et al. (2026)</t>
  </si>
  <si>
    <t>Demand Estimation</t>
  </si>
  <si>
    <t>Regression, GIS</t>
  </si>
  <si>
    <t>Land-use type drives utilisation rate heterogeneity</t>
  </si>
  <si>
    <t>Justifies LSOA-level heterogeneous demand proxy</t>
  </si>
  <si>
    <t>No location-allocation optimisation</t>
  </si>
  <si>
    <t>Intro / Lit Review</t>
  </si>
  <si>
    <t>P004</t>
  </si>
  <si>
    <t>B - Important</t>
  </si>
  <si>
    <t>Not read</t>
  </si>
  <si>
    <t>Pagany et al. (2018)</t>
  </si>
  <si>
    <t>A review of spatial localization methodologies for the electric vehicle charging infrastructure</t>
  </si>
  <si>
    <t>Literature review</t>
  </si>
  <si>
    <t>Gap: no standardised framework for heterogeneous demand</t>
  </si>
  <si>
    <t>Key source for gap statement in introduction</t>
  </si>
  <si>
    <t>Review only; no original model</t>
  </si>
  <si>
    <t>Lit Review</t>
  </si>
  <si>
    <t>No</t>
  </si>
  <si>
    <t>https://doi.org/10.1080/15568318.2018.1481243</t>
  </si>
  <si>
    <t>P005</t>
  </si>
  <si>
    <t>Kchaou-Boujelben (2021)</t>
  </si>
  <si>
    <t>Charging station location problem: A comprehensive review on models and solution approaches</t>
  </si>
  <si>
    <t>Facility-location literature review</t>
  </si>
  <si>
    <t>Maps CSLP models: covering, median, MCLP variants</t>
  </si>
  <si>
    <t>Comparison baseline for the 3 candidate model types</t>
  </si>
  <si>
    <t>Methodological only; no equity focus</t>
  </si>
  <si>
    <t>Method / Lit Review</t>
  </si>
  <si>
    <t>P006</t>
  </si>
  <si>
    <t>Filippi et al. (2023)</t>
  </si>
  <si>
    <t>Incorporating time-dependent demand patterns in the optimal location of capacitated charging stations</t>
  </si>
  <si>
    <t>MILP + worst-case analysis</t>
  </si>
  <si>
    <t>Classical models assume static/uniform demand; ignoring time causes unmet demand</t>
  </si>
  <si>
    <t>Gap-statement source - "uniform demand" framing</t>
  </si>
  <si>
    <t>Temporal only; no equity weighting</t>
  </si>
  <si>
    <t>https://doi.org/10.1016/j.trc.2023.104145</t>
  </si>
  <si>
    <t>P007</t>
  </si>
  <si>
    <t>Dharangaonkar &amp; Patil (2025)</t>
  </si>
  <si>
    <t>Planning of Electric Vehicle Charging Infrastructure: A Review and a Conceptual Framework Based on Spatial and Predictive Analysis</t>
  </si>
  <si>
    <t>Systematic review, 91 studies (2011-2024)</t>
  </si>
  <si>
    <t>Gap: no unified siting framework; inconsistent demand-heterogeneity treatment</t>
  </si>
  <si>
    <t>3rd gap-statement source for introduction</t>
  </si>
  <si>
    <t>Conceptual framework, untested</t>
  </si>
  <si>
    <t>P008</t>
  </si>
  <si>
    <t>Lopane &amp; Zhong (2025)</t>
  </si>
  <si>
    <t>Beyond the Charger Count: A Spatial Equity Lens on Local Dynamics of Public EV Charging Infrastructure Rollout in London</t>
  </si>
  <si>
    <t>Working Paper</t>
  </si>
  <si>
    <t>Spatial Equity</t>
  </si>
  <si>
    <t>Spatial Autoregressive (SAR) regression, ward panel 2021-2024</t>
  </si>
  <si>
    <t>Supply outpaced demand citywide, but accessibility fell in some wards; wealthier wards rolled out faster</t>
  </si>
  <si>
    <t>Supervisor's own paper - direct support for IMD-equity rationale</t>
  </si>
  <si>
    <t>Ward-level (coarser than LSOA); London-only</t>
  </si>
  <si>
    <t>Intro / Lit Review / Discussion</t>
  </si>
  <si>
    <t>P009</t>
  </si>
  <si>
    <t>Chen et al. (2025)</t>
  </si>
  <si>
    <t>Equity Considerations in Public Electric Vehicle Charging: A Review</t>
  </si>
  <si>
    <t>Systematic review, 91 studies</t>
  </si>
  <si>
    <t>4 equity dimensions identified; spatial-access methods rarely validated against usage</t>
  </si>
  <si>
    <t>UCL equity-framework typology for positioning this thesis</t>
  </si>
  <si>
    <t>Review only; no original spatial model</t>
  </si>
  <si>
    <t>Lit Review / Discussion</t>
  </si>
  <si>
    <t>P010</t>
  </si>
  <si>
    <t>C - Method</t>
  </si>
  <si>
    <t>Carlton &amp; Sultana (2023)</t>
  </si>
  <si>
    <t>Transport equity considerations in electric vehicle charging research: a scoping review</t>
  </si>
  <si>
    <t>PRISMA-ScR scoping review</t>
  </si>
  <si>
    <t>EV-equity research lacks clear normative definitions vs. transport-equity literature</t>
  </si>
  <si>
    <t>Grounds choice of IMD as equity proxy</t>
  </si>
  <si>
    <t>Scoping review; US/UK literature bias</t>
  </si>
  <si>
    <t>P011</t>
  </si>
  <si>
    <t>Bhargava et al. (2024)</t>
  </si>
  <si>
    <t>Heterogeneity of Land Uses near Electric Vehicle Charging Stations and their Affordability in Chicago, Illinois</t>
  </si>
  <si>
    <t>POI clustering, business-density analysis</t>
  </si>
  <si>
    <t>Land-use mix and affordability vary systematically around chargers</t>
  </si>
  <si>
    <t>Supports land-use term in demand proxy formula</t>
  </si>
  <si>
    <t>Chicago case; cross-sectional</t>
  </si>
  <si>
    <t>Method / Discussion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</si>
  <si>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</si>
  <si>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</si>
  <si>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</si>
  <si>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</si>
  <si>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</si>
  <si>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</si>
  <si>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</si>
  <si>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</si>
  <si>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</si>
  <si>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</si>
  <si>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</si>
  <si>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</si>
  <si>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</si>
  <si>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</si>
  <si>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</si>
  <si>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</si>
  <si>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</si>
  <si>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</si>
  <si>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</si>
  <si>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</si>
  <si>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</si>
  <si>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</si>
  <si>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</si>
  <si>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</si>
  <si>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</si>
  <si>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</si>
  <si>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</si>
  <si>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</si>
  <si>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</si>
  <si>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</si>
  <si>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</si>
  <si>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</si>
  <si>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</si>
  <si>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</si>
  <si>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</si>
  <si>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</si>
  <si>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</si>
  <si>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</si>
  <si>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</si>
  <si>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▼  Reports &amp; Policy Documents  (R-series)</t>
  </si>
  <si>
    <t>R001</t>
  </si>
  <si>
    <t>GOV.UK (2022)</t>
  </si>
  <si>
    <t>EV Infrastructure Strategy 2022</t>
  </si>
  <si>
    <t>Government report</t>
  </si>
  <si>
    <t>Policy/Context</t>
  </si>
  <si>
    <t>Policy document</t>
  </si>
  <si>
    <t>National EV charging targets and planning obligations</t>
  </si>
  <si>
    <t>Provides UK policy constraint context</t>
  </si>
  <si>
    <t>Government target, not spatial model</t>
  </si>
  <si>
    <t>Intro / Discussion</t>
  </si>
  <si>
    <t>https://www.gov.uk/government/publications/uk-electric-vehicle-infrastructure-strategy</t>
  </si>
  <si>
    <t>R002</t>
  </si>
  <si>
    <t>HoC Library (2025)</t>
  </si>
  <si>
    <t>House of Commons EV Briefing CBP-7480</t>
  </si>
  <si>
    <t>Policy briefing</t>
  </si>
  <si>
    <t>Current state of UK EV infrastructure deployment</t>
  </si>
  <si>
    <t>Latest policy context for discussion section</t>
  </si>
  <si>
    <t>Parliamentary brief, not academic</t>
  </si>
  <si>
    <t>Discussion</t>
  </si>
  <si>
    <t>https://commonslibrary.parliament.uk/research-briefings/cbp-7480/</t>
  </si>
  <si>
    <t>R003</t>
  </si>
  <si>
    <t>EIT Urban Mobility</t>
  </si>
  <si>
    <t>EIT Urban Mobility Marketplace Minute Report</t>
  </si>
  <si>
    <t>Industry report</t>
  </si>
  <si>
    <t>Challenges in public EV charging accessibility</t>
  </si>
  <si>
    <t>Supporting evidence for equity motivation</t>
  </si>
  <si>
    <t>Industry, not peer-reviewed</t>
  </si>
  <si>
    <t>Intro</t>
  </si>
  <si>
    <t>R003_EIT_2024.md</t>
  </si>
  <si>
    <t>R004</t>
  </si>
  <si>
    <t>D - Background</t>
  </si>
  <si>
    <t>TfL / Fastned (2026)</t>
  </si>
  <si>
    <t>First ultra-rapid EV hub in Fastned and Places for London partnership lands near Heathrow</t>
  </si>
  <si>
    <t>Press release</t>
  </si>
  <si>
    <t>Hatton Cross hub (12 x 400kW bays) opened 15 Jun 2026, first of 25 planned; part of 40,000-chargepoint-by-2030 target; 175,000+ EVs registered in London</t>
  </si>
  <si>
    <t>Current supply-side context; real example of hub-model deployment</t>
  </si>
  <si>
    <t>Promotional press release, not independent data</t>
  </si>
  <si>
    <t>R004_TfL_Fastned_2026.md</t>
  </si>
  <si>
    <t>R005</t>
  </si>
  <si>
    <t>TfL / GLA (2025)</t>
  </si>
  <si>
    <t>London's Electric Vehicle Infrastructure Strategy - 2025 Update</t>
  </si>
  <si>
    <t>Policy strategy document</t>
  </si>
  <si>
    <t>Borough-level public charge-point delivery data (Jan 2022-Jul 2025); revised 2030/2035 EV uptake projections</t>
  </si>
  <si>
    <t>Possible supply-side baseline/validation data for scaling to full London</t>
  </si>
  <si>
    <t>Policy targets, not ground-truth installed-base verification</t>
  </si>
  <si>
    <t>Method / Discussion / Dataset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</si>
  <si>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</si>
  <si>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</si>
  <si>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</si>
  <si>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</si>
  <si>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</si>
  <si>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</si>
  <si>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</si>
  <si>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</si>
  <si>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</si>
  <si>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</si>
  <si>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Literature Matrix Summary</t>
  </si>
  <si>
    <t>Reading Workflow</t>
  </si>
  <si>
    <t>Academic papers (P-series)</t>
  </si>
  <si>
    <t>1  Skim A-Core papers first: Vazifeh, He, Lu, Pagany.</t>
  </si>
  <si>
    <t>Reports &amp; policy docs (R-series)</t>
  </si>
  <si>
    <t>2  Status flow: Not read → Skimmed → Reading → Read → Cited.</t>
  </si>
  <si>
    <t>Total</t>
  </si>
  <si>
    <t>3  Fill Key Finding only after reading or skimming.</t>
  </si>
  <si>
    <t>4  P-IDs for academic papers; R-IDs for reports &amp; policy docs.</t>
  </si>
  <si>
    <t>By Priority</t>
  </si>
  <si>
    <t>5  Keep Source URL as plain text for traceability.</t>
  </si>
  <si>
    <t>6  Notes file path: 01_literature/reading_notes/P001_Surname_YYYY.md</t>
  </si>
  <si>
    <t>By Status</t>
  </si>
  <si>
    <t>Reading</t>
  </si>
  <si>
    <t>Read</t>
  </si>
  <si>
    <t>Cited</t>
  </si>
  <si>
    <t>By Theme</t>
  </si>
  <si>
    <t>Yes/No</t>
  </si>
  <si>
    <t>Conference</t>
  </si>
  <si>
    <t>Preprint</t>
  </si>
  <si>
    <t>Report</t>
  </si>
  <si>
    <t>Dataset</t>
  </si>
  <si>
    <t>Appendix</t>
  </si>
  <si>
    <t>Backup</t>
  </si>
  <si>
    <t>Spatiotemporal network effects and mechanisms of charging station
utilization patterns</t>
    <phoneticPr fontId="5" type="noConversion"/>
  </si>
  <si>
    <t>https://doi.org/10.1016/j.scs.2026.107486</t>
    <phoneticPr fontId="5" type="noConversion"/>
  </si>
  <si>
    <t>https://dx.doi.org/10.2139/ssrn.5845505</t>
    <phoneticPr fontId="5" type="noConversion"/>
  </si>
  <si>
    <t>https://doi.org/10.1016/j.trc.2021.103376</t>
    <phoneticPr fontId="5" type="noConversion"/>
  </si>
  <si>
    <t>https://doi.org/10.18280/ijsdp.200605</t>
    <phoneticPr fontId="5" type="noConversion"/>
  </si>
  <si>
    <t>P007_Dharangaonkar_Patil_2025.md</t>
    <phoneticPr fontId="5" type="noConversion"/>
  </si>
  <si>
    <t>P005_KchaouBoujelben_2021.md</t>
    <phoneticPr fontId="5" type="noConversion"/>
  </si>
  <si>
    <t>P008_Lopane_Zhong_2025.md</t>
    <phoneticPr fontId="5" type="noConversion"/>
  </si>
  <si>
    <t>https://doi.org/10.3390/wevj16100553</t>
    <phoneticPr fontId="5" type="noConversion"/>
  </si>
  <si>
    <t>P009_Chen_2025.md</t>
    <phoneticPr fontId="5" type="noConversion"/>
  </si>
  <si>
    <t>https://doi.org/10.1080/01441647.2022.2109775</t>
    <phoneticPr fontId="5" type="noConversion"/>
  </si>
  <si>
    <t>P010_Carlton_Sultana_2023.md</t>
    <phoneticPr fontId="5" type="noConversion"/>
  </si>
  <si>
    <t>https://doi.org/10.32866/001c.125835</t>
    <phoneticPr fontId="5" type="noConversion"/>
  </si>
  <si>
    <t>P011_Bhargava_2024.md</t>
    <phoneticPr fontId="5" type="noConversion"/>
  </si>
  <si>
    <t>P001_Vazifeh_2019.md</t>
    <phoneticPr fontId="5" type="noConversion"/>
  </si>
  <si>
    <t>P002_He_2022.md</t>
    <phoneticPr fontId="5" type="noConversion"/>
  </si>
  <si>
    <t>P003_Lu_2026.md</t>
    <phoneticPr fontId="5" type="noConversion"/>
  </si>
  <si>
    <t>P004_Pagany_2018.md</t>
    <phoneticPr fontId="5" type="noConversion"/>
  </si>
  <si>
    <t>P006_Filippi_2023.md</t>
    <phoneticPr fontId="5" type="noConversion"/>
  </si>
  <si>
    <t>R001_GOV_UK_2022.md</t>
    <phoneticPr fontId="5" type="noConversion"/>
  </si>
  <si>
    <t>R002_HoC_2025.md</t>
    <phoneticPr fontId="5" type="noConversion"/>
  </si>
  <si>
    <t>https://www.linkedin.com/pulse/mobility-marketplace-minute-challenges-low-public-transport-znepe/</t>
    <phoneticPr fontId="5" type="noConversion"/>
  </si>
  <si>
    <t>https://tfl.gov.uk/info-for/media/press-releases/2026/june/first-ultra-rapid-ev-hub-in-fastned-and-places-for-london-partnership-lands-near-heathrow-with-a-week-of-free-charging</t>
    <phoneticPr fontId="5" type="noConversion"/>
  </si>
  <si>
    <t>https://tfl.gov.uk/ruc-cdn/static/cms/documents/electric-vehicle-infrastructure-strategy-2025.pdf</t>
    <phoneticPr fontId="5" type="noConversion"/>
  </si>
  <si>
    <t>R005_TfL_EVStrategy_2025.md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</si>
</sst>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sz val="10"/>
      <name val="Arial"/>
      <family val="2"/>
    </font>
    <font>
      <sz val="9"/>
      <name val="FangSong"/>
      <family val="3"/>
      <charset val="134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2C3E6B"/>
        <bgColor rgb="FF4A3560"/>
      </patternFill>
    </fill>
    <fill>
      <patternFill patternType="solid">
        <fgColor rgb="FFDDEEFF"/>
        <bgColor rgb="FFD6F0DE"/>
      </patternFill>
    </fill>
    <fill>
      <patternFill patternType="solid">
        <fgColor rgb="FFD6F0DE"/>
        <bgColor rgb="FFDDEEFF"/>
      </patternFill>
    </fill>
    <fill>
      <patternFill patternType="solid">
        <fgColor rgb="FFFFE6CC"/>
        <bgColor rgb="FFEDE0FF"/>
      </patternFill>
    </fill>
    <fill>
      <patternFill patternType="solid">
        <fgColor rgb="FFFFFFFF"/>
        <bgColor rgb="FFF9F9F9"/>
      </patternFill>
    </fill>
    <fill>
      <patternFill patternType="solid">
        <fgColor rgb="FF4A3560"/>
        <bgColor rgb="FF2C3E6B"/>
      </patternFill>
    </fill>
    <fill>
      <patternFill patternType="solid">
        <fgColor rgb="FFEDE0FF"/>
        <bgColor rgb="FFDDEE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top" wrapText="1"/>
    </xf>
    <xf numFmtId="0" fontId="3" fillId="5" borderId="2" xfId="0" applyFont="1" applyFill="1" applyBorder="1" applyAlignment="1">
      <alignment horizontal="left" vertical="top" wrapText="1"/>
    </xf>
    <xf numFmtId="0" fontId="3" fillId="6" borderId="2" xfId="0" applyFont="1" applyFill="1" applyBorder="1" applyAlignment="1">
      <alignment horizontal="left" vertical="top" wrapText="1"/>
    </xf>
    <xf numFmtId="0" fontId="3" fillId="7" borderId="2" xfId="0" applyFont="1" applyFill="1" applyBorder="1" applyAlignment="1">
      <alignment horizontal="left" vertical="top" wrapText="1"/>
    </xf>
    <xf numFmtId="0" fontId="3" fillId="9" borderId="2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6" fillId="5" borderId="2" xfId="1" applyFill="1" applyBorder="1" applyAlignment="1">
      <alignment horizontal="left" vertical="top" wrapText="1"/>
    </xf>
    <xf numFmtId="0" fontId="6" fillId="6" borderId="2" xfId="1" applyFill="1" applyBorder="1" applyAlignment="1">
      <alignment horizontal="left" vertical="top" wrapText="1"/>
    </xf>
    <xf numFmtId="0" fontId="6" fillId="4" borderId="2" xfId="1" applyFill="1" applyBorder="1" applyAlignment="1">
      <alignment horizontal="left" vertical="top" wrapText="1"/>
    </xf>
    <xf numFmtId="0" fontId="6" fillId="9" borderId="2" xfId="1" applyFill="1" applyBorder="1" applyAlignment="1">
      <alignment horizontal="left" vertical="top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9F9F9"/>
      <rgbColor rgb="FFDDEE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0FF"/>
      <rgbColor rgb="FFD6F0DE"/>
      <rgbColor rgb="FFFFE6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88888"/>
      <rgbColor rgb="FF1A5276"/>
      <rgbColor rgb="FF339966"/>
      <rgbColor rgb="FF003300"/>
      <rgbColor rgb="FF1A1A2E"/>
      <rgbColor rgb="FF993300"/>
      <rgbColor rgb="FF993366"/>
      <rgbColor rgb="FF2C3E6B"/>
      <rgbColor rgb="FF4A35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Items by Priority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Summary!$B$6</c:f>
              <c:strCache>
                <c:ptCount val="1"/>
              </c:strCache>
            </c:strRef>
          </c:tx>
          <c:spPr>
            <a:solidFill>
              <a:srgbClr val="1A527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zh-CN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Summary!$A$7:$A$10</c:f>
              <c:strCache>
                <c:ptCount val="4"/>
                <c:pt idx="0">
                  <c:v>A - Core</c:v>
                </c:pt>
                <c:pt idx="1">
                  <c:v>B - Important</c:v>
                </c:pt>
                <c:pt idx="2">
                  <c:v>C - Method</c:v>
                </c:pt>
                <c:pt idx="3">
                  <c:v>D - Background</c:v>
                </c:pt>
              </c:strCache>
            </c:strRef>
          </c:cat>
          <c:val>
            <c:numRef>
              <c:f>Summary!$B$7:$B$10</c:f>
              <c:numCache>
                <c:formatCode>General</c:formatCode>
                <c:ptCount val="4"/>
                <c:pt idx="0">
                  <c:v>8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75-CC4B-B02D-F89283F80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39390"/>
        <c:axId val="58549764"/>
      </c:barChart>
      <c:catAx>
        <c:axId val="126393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zh-CN"/>
          </a:p>
        </c:txPr>
        <c:crossAx val="58549764"/>
        <c:crosses val="autoZero"/>
        <c:auto val="1"/>
        <c:lblAlgn val="ctr"/>
        <c:lblOffset val="100"/>
        <c:noMultiLvlLbl val="0"/>
      </c:catAx>
      <c:valAx>
        <c:axId val="585497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zh-CN"/>
          </a:p>
        </c:txPr>
        <c:crossAx val="126393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8</xdr:row>
      <xdr:rowOff>0</xdr:rowOff>
    </xdr:from>
    <xdr:to>
      <xdr:col>4</xdr:col>
      <xdr:colOff>3347640</xdr:colOff>
      <xdr:row>24</xdr:row>
      <xdr:rowOff>18000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ulse/mobility-marketplace-minute-challenges-low-public-transport-znepe/" TargetMode="External"/><Relationship Id="rId3" Type="http://schemas.openxmlformats.org/officeDocument/2006/relationships/hyperlink" Target="https://doi.org/10.1016/j.trc.2021.103376" TargetMode="External"/><Relationship Id="rId7" Type="http://schemas.openxmlformats.org/officeDocument/2006/relationships/hyperlink" Target="https://doi.org/10.32866/001c.125835" TargetMode="External"/><Relationship Id="rId2" Type="http://schemas.openxmlformats.org/officeDocument/2006/relationships/hyperlink" Target="https://dx.doi.org/10.2139/ssrn.5845505" TargetMode="External"/><Relationship Id="rId1" Type="http://schemas.openxmlformats.org/officeDocument/2006/relationships/hyperlink" Target="https://doi.org/10.1016/j.scs.2026.107486" TargetMode="External"/><Relationship Id="rId6" Type="http://schemas.openxmlformats.org/officeDocument/2006/relationships/hyperlink" Target="https://doi.org/10.1080/01441647.2022.2109775" TargetMode="External"/><Relationship Id="rId5" Type="http://schemas.openxmlformats.org/officeDocument/2006/relationships/hyperlink" Target="https://doi.org/10.3390/wevj16100553" TargetMode="External"/><Relationship Id="rId10" Type="http://schemas.openxmlformats.org/officeDocument/2006/relationships/hyperlink" Target="https://tfl.gov.uk/ruc-cdn/static/cms/documents/electric-vehicle-infrastructure-strategy-2025.pdf" TargetMode="External"/><Relationship Id="rId4" Type="http://schemas.openxmlformats.org/officeDocument/2006/relationships/hyperlink" Target="https://doi.org/10.18280/ijsdp.200605" TargetMode="External"/><Relationship Id="rId9" Type="http://schemas.openxmlformats.org/officeDocument/2006/relationships/hyperlink" Target="https://tfl.gov.uk/info-for/media/press-releases/2026/june/first-ultra-rapid-ev-hub-in-fastned-and-places-for-london-partnership-lands-near-heathrow-with-a-week-of-free-charg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8"/>
  <sheetViews>
    <sheetView tabSelected="1" topLeftCell="J1" zoomScale="112" zoomScaleNormal="100" workbookViewId="0">
      <pane ySplit="1" topLeftCell="A52" activePane="bottomLeft" state="frozen"/>
      <selection pane="bottomLeft" activeCell="P58" sqref="P58"/>
    </sheetView>
  </sheetViews>
  <sheetFormatPr baseColWidth="10" defaultColWidth="8.6640625" defaultRowHeight="15" x14ac:dyDescent="0.2"/>
  <cols>
    <col min="1" max="1" width="9" customWidth="1"/>
    <col min="2" max="2" width="14" customWidth="1"/>
    <col min="3" max="3" width="11" customWidth="1"/>
    <col min="4" max="4" width="22" customWidth="1"/>
    <col min="5" max="5" width="50" customWidth="1"/>
    <col min="6" max="6" width="13" customWidth="1"/>
    <col min="7" max="8" width="22" customWidth="1"/>
    <col min="9" max="9" width="36" customWidth="1"/>
    <col min="10" max="10" width="34" customWidth="1"/>
    <col min="11" max="11" width="26" customWidth="1"/>
    <col min="12" max="12" width="24" customWidth="1"/>
    <col min="13" max="13" width="13" customWidth="1"/>
    <col min="14" max="14" width="10" customWidth="1"/>
    <col min="15" max="15" width="28" customWidth="1"/>
    <col min="16" max="16" width="26" customWidth="1"/>
  </cols>
  <sheetData>
    <row r="1" spans="1:16" ht="30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 ht="15.75" customHeight="1" x14ac:dyDescent="0.2">
      <c r="A2" s="4" t="s">
        <v>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ht="37.5" customHeight="1" x14ac:dyDescent="0.2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28</v>
      </c>
      <c r="M3" s="6" t="s">
        <v>29</v>
      </c>
      <c r="N3" s="6" t="s">
        <v>29</v>
      </c>
      <c r="O3" s="6" t="s">
        <v>30</v>
      </c>
      <c r="P3" s="6" t="s">
        <v>251</v>
      </c>
    </row>
    <row r="4" spans="1:16" ht="37.5" customHeight="1" x14ac:dyDescent="0.2">
      <c r="A4" s="6" t="s">
        <v>31</v>
      </c>
      <c r="B4" s="6" t="s">
        <v>18</v>
      </c>
      <c r="C4" s="6" t="s">
        <v>19</v>
      </c>
      <c r="D4" s="6" t="s">
        <v>32</v>
      </c>
      <c r="E4" s="6" t="s">
        <v>33</v>
      </c>
      <c r="F4" s="6" t="s">
        <v>22</v>
      </c>
      <c r="G4" s="6" t="s">
        <v>23</v>
      </c>
      <c r="H4" s="6" t="s">
        <v>34</v>
      </c>
      <c r="I4" s="6" t="s">
        <v>35</v>
      </c>
      <c r="J4" s="6" t="s">
        <v>36</v>
      </c>
      <c r="K4" s="6" t="s">
        <v>37</v>
      </c>
      <c r="L4" s="6" t="s">
        <v>38</v>
      </c>
      <c r="M4" s="6" t="s">
        <v>29</v>
      </c>
      <c r="N4" s="6" t="s">
        <v>29</v>
      </c>
      <c r="O4" s="6" t="s">
        <v>39</v>
      </c>
      <c r="P4" s="6" t="s">
        <v>252</v>
      </c>
    </row>
    <row r="5" spans="1:16" ht="37.5" customHeight="1" x14ac:dyDescent="0.2">
      <c r="A5" s="7" t="s">
        <v>40</v>
      </c>
      <c r="B5" s="7" t="s">
        <v>18</v>
      </c>
      <c r="C5" s="7" t="s">
        <v>19</v>
      </c>
      <c r="D5" s="7" t="s">
        <v>41</v>
      </c>
      <c r="E5" s="7" t="s">
        <v>237</v>
      </c>
      <c r="F5" s="7" t="s">
        <v>22</v>
      </c>
      <c r="G5" s="7" t="s">
        <v>42</v>
      </c>
      <c r="H5" s="7" t="s">
        <v>43</v>
      </c>
      <c r="I5" s="7" t="s">
        <v>44</v>
      </c>
      <c r="J5" s="7" t="s">
        <v>45</v>
      </c>
      <c r="K5" s="7" t="s">
        <v>46</v>
      </c>
      <c r="L5" s="7" t="s">
        <v>47</v>
      </c>
      <c r="M5" s="7" t="s">
        <v>29</v>
      </c>
      <c r="N5" s="7" t="s">
        <v>29</v>
      </c>
      <c r="O5" s="15" t="s">
        <v>238</v>
      </c>
      <c r="P5" s="7" t="s">
        <v>253</v>
      </c>
    </row>
    <row r="6" spans="1:16" ht="37.5" customHeight="1" x14ac:dyDescent="0.2">
      <c r="A6" s="6" t="s">
        <v>48</v>
      </c>
      <c r="B6" s="6" t="s">
        <v>49</v>
      </c>
      <c r="C6" s="6" t="s">
        <v>50</v>
      </c>
      <c r="D6" s="6" t="s">
        <v>51</v>
      </c>
      <c r="E6" s="6" t="s">
        <v>52</v>
      </c>
      <c r="F6" s="6" t="s">
        <v>22</v>
      </c>
      <c r="G6" s="6" t="s">
        <v>23</v>
      </c>
      <c r="H6" s="6" t="s">
        <v>53</v>
      </c>
      <c r="I6" s="6" t="s">
        <v>54</v>
      </c>
      <c r="J6" s="6" t="s">
        <v>55</v>
      </c>
      <c r="K6" s="6" t="s">
        <v>56</v>
      </c>
      <c r="L6" s="6" t="s">
        <v>57</v>
      </c>
      <c r="M6" s="6" t="s">
        <v>58</v>
      </c>
      <c r="N6" s="6" t="s">
        <v>58</v>
      </c>
      <c r="O6" s="6" t="s">
        <v>59</v>
      </c>
      <c r="P6" s="6" t="s">
        <v>254</v>
      </c>
    </row>
    <row r="7" spans="1:16" ht="37.5" customHeight="1" x14ac:dyDescent="0.2">
      <c r="A7" s="6" t="s">
        <v>60</v>
      </c>
      <c r="B7" s="6" t="s">
        <v>18</v>
      </c>
      <c r="C7" s="6" t="s">
        <v>19</v>
      </c>
      <c r="D7" s="6" t="s">
        <v>61</v>
      </c>
      <c r="E7" s="6" t="s">
        <v>62</v>
      </c>
      <c r="F7" s="6" t="s">
        <v>22</v>
      </c>
      <c r="G7" s="6" t="s">
        <v>23</v>
      </c>
      <c r="H7" s="6" t="s">
        <v>63</v>
      </c>
      <c r="I7" s="6" t="s">
        <v>64</v>
      </c>
      <c r="J7" s="6" t="s">
        <v>65</v>
      </c>
      <c r="K7" s="6" t="s">
        <v>66</v>
      </c>
      <c r="L7" s="6" t="s">
        <v>67</v>
      </c>
      <c r="M7" s="6" t="s">
        <v>29</v>
      </c>
      <c r="N7" s="6" t="s">
        <v>58</v>
      </c>
      <c r="O7" s="17" t="s">
        <v>240</v>
      </c>
      <c r="P7" s="6" t="s">
        <v>243</v>
      </c>
    </row>
    <row r="8" spans="1:16" ht="37.5" customHeight="1" x14ac:dyDescent="0.2">
      <c r="A8" s="6" t="s">
        <v>68</v>
      </c>
      <c r="B8" s="6" t="s">
        <v>18</v>
      </c>
      <c r="C8" s="6" t="s">
        <v>19</v>
      </c>
      <c r="D8" s="6" t="s">
        <v>69</v>
      </c>
      <c r="E8" s="6" t="s">
        <v>70</v>
      </c>
      <c r="F8" s="6" t="s">
        <v>22</v>
      </c>
      <c r="G8" s="6" t="s">
        <v>23</v>
      </c>
      <c r="H8" s="6" t="s">
        <v>71</v>
      </c>
      <c r="I8" s="6" t="s">
        <v>72</v>
      </c>
      <c r="J8" s="6" t="s">
        <v>73</v>
      </c>
      <c r="K8" s="6" t="s">
        <v>74</v>
      </c>
      <c r="L8" s="6" t="s">
        <v>47</v>
      </c>
      <c r="M8" s="6" t="s">
        <v>29</v>
      </c>
      <c r="N8" s="6" t="s">
        <v>58</v>
      </c>
      <c r="O8" s="6" t="s">
        <v>75</v>
      </c>
      <c r="P8" s="6" t="s">
        <v>255</v>
      </c>
    </row>
    <row r="9" spans="1:16" ht="37.5" customHeight="1" x14ac:dyDescent="0.2">
      <c r="A9" s="6" t="s">
        <v>76</v>
      </c>
      <c r="B9" s="6" t="s">
        <v>49</v>
      </c>
      <c r="C9" s="6" t="s">
        <v>19</v>
      </c>
      <c r="D9" s="6" t="s">
        <v>77</v>
      </c>
      <c r="E9" s="6" t="s">
        <v>78</v>
      </c>
      <c r="F9" s="6" t="s">
        <v>22</v>
      </c>
      <c r="G9" s="6" t="s">
        <v>23</v>
      </c>
      <c r="H9" s="6" t="s">
        <v>79</v>
      </c>
      <c r="I9" s="6" t="s">
        <v>80</v>
      </c>
      <c r="J9" s="6" t="s">
        <v>81</v>
      </c>
      <c r="K9" s="6" t="s">
        <v>82</v>
      </c>
      <c r="L9" s="6" t="s">
        <v>47</v>
      </c>
      <c r="M9" s="6" t="s">
        <v>29</v>
      </c>
      <c r="N9" s="6" t="s">
        <v>58</v>
      </c>
      <c r="O9" s="17" t="s">
        <v>241</v>
      </c>
      <c r="P9" s="6" t="s">
        <v>242</v>
      </c>
    </row>
    <row r="10" spans="1:16" ht="37.5" customHeight="1" x14ac:dyDescent="0.2">
      <c r="A10" s="8" t="s">
        <v>83</v>
      </c>
      <c r="B10" s="8" t="s">
        <v>18</v>
      </c>
      <c r="C10" s="8" t="s">
        <v>19</v>
      </c>
      <c r="D10" s="8" t="s">
        <v>84</v>
      </c>
      <c r="E10" s="8" t="s">
        <v>85</v>
      </c>
      <c r="F10" s="8" t="s">
        <v>86</v>
      </c>
      <c r="G10" s="8" t="s">
        <v>87</v>
      </c>
      <c r="H10" s="8" t="s">
        <v>88</v>
      </c>
      <c r="I10" s="8" t="s">
        <v>89</v>
      </c>
      <c r="J10" s="8" t="s">
        <v>90</v>
      </c>
      <c r="K10" s="8" t="s">
        <v>91</v>
      </c>
      <c r="L10" s="8" t="s">
        <v>92</v>
      </c>
      <c r="M10" s="8" t="s">
        <v>29</v>
      </c>
      <c r="N10" s="8" t="s">
        <v>58</v>
      </c>
      <c r="O10" s="16" t="s">
        <v>239</v>
      </c>
      <c r="P10" s="8" t="s">
        <v>244</v>
      </c>
    </row>
    <row r="11" spans="1:16" ht="37.5" customHeight="1" x14ac:dyDescent="0.2">
      <c r="A11" s="8" t="s">
        <v>93</v>
      </c>
      <c r="B11" s="8" t="s">
        <v>49</v>
      </c>
      <c r="C11" s="8" t="s">
        <v>19</v>
      </c>
      <c r="D11" s="8" t="s">
        <v>94</v>
      </c>
      <c r="E11" s="8" t="s">
        <v>95</v>
      </c>
      <c r="F11" s="8" t="s">
        <v>22</v>
      </c>
      <c r="G11" s="8" t="s">
        <v>87</v>
      </c>
      <c r="H11" s="8" t="s">
        <v>96</v>
      </c>
      <c r="I11" s="8" t="s">
        <v>97</v>
      </c>
      <c r="J11" s="8" t="s">
        <v>98</v>
      </c>
      <c r="K11" s="8" t="s">
        <v>99</v>
      </c>
      <c r="L11" s="8" t="s">
        <v>100</v>
      </c>
      <c r="M11" s="8" t="s">
        <v>29</v>
      </c>
      <c r="N11" s="8" t="s">
        <v>58</v>
      </c>
      <c r="O11" s="16" t="s">
        <v>245</v>
      </c>
      <c r="P11" s="8" t="s">
        <v>246</v>
      </c>
    </row>
    <row r="12" spans="1:16" ht="37.5" customHeight="1" x14ac:dyDescent="0.2">
      <c r="A12" s="8" t="s">
        <v>101</v>
      </c>
      <c r="B12" s="8" t="s">
        <v>102</v>
      </c>
      <c r="C12" s="8" t="s">
        <v>19</v>
      </c>
      <c r="D12" s="8" t="s">
        <v>103</v>
      </c>
      <c r="E12" s="8" t="s">
        <v>104</v>
      </c>
      <c r="F12" s="8" t="s">
        <v>22</v>
      </c>
      <c r="G12" s="8" t="s">
        <v>87</v>
      </c>
      <c r="H12" s="8" t="s">
        <v>105</v>
      </c>
      <c r="I12" s="8" t="s">
        <v>106</v>
      </c>
      <c r="J12" s="8" t="s">
        <v>107</v>
      </c>
      <c r="K12" s="8" t="s">
        <v>108</v>
      </c>
      <c r="L12" s="8" t="s">
        <v>57</v>
      </c>
      <c r="M12" s="8" t="s">
        <v>29</v>
      </c>
      <c r="N12" s="8" t="s">
        <v>58</v>
      </c>
      <c r="O12" s="16" t="s">
        <v>247</v>
      </c>
      <c r="P12" s="8" t="s">
        <v>248</v>
      </c>
    </row>
    <row r="13" spans="1:16" ht="37.5" customHeight="1" x14ac:dyDescent="0.2">
      <c r="A13" s="7" t="s">
        <v>109</v>
      </c>
      <c r="B13" s="7" t="s">
        <v>102</v>
      </c>
      <c r="C13" s="7" t="s">
        <v>19</v>
      </c>
      <c r="D13" s="7" t="s">
        <v>110</v>
      </c>
      <c r="E13" s="7" t="s">
        <v>111</v>
      </c>
      <c r="F13" s="7" t="s">
        <v>22</v>
      </c>
      <c r="G13" s="7" t="s">
        <v>42</v>
      </c>
      <c r="H13" s="7" t="s">
        <v>112</v>
      </c>
      <c r="I13" s="7" t="s">
        <v>113</v>
      </c>
      <c r="J13" s="7" t="s">
        <v>114</v>
      </c>
      <c r="K13" s="7" t="s">
        <v>115</v>
      </c>
      <c r="L13" s="7" t="s">
        <v>116</v>
      </c>
      <c r="M13" s="7" t="s">
        <v>29</v>
      </c>
      <c r="N13" s="7" t="s">
        <v>58</v>
      </c>
      <c r="O13" s="15" t="s">
        <v>249</v>
      </c>
      <c r="P13" s="7" t="s">
        <v>250</v>
      </c>
    </row>
    <row r="14" spans="1:16" ht="37.5" customHeight="1" x14ac:dyDescent="0.2">
      <c r="A14" s="9" t="s">
        <v>117</v>
      </c>
      <c r="B14" s="9"/>
      <c r="C14" s="9" t="s">
        <v>50</v>
      </c>
      <c r="D14" s="9"/>
      <c r="E14" s="9"/>
      <c r="F14" s="9" t="s">
        <v>22</v>
      </c>
      <c r="G14" s="9"/>
      <c r="H14" s="9"/>
      <c r="I14" s="9"/>
      <c r="J14" s="9"/>
      <c r="K14" s="9"/>
      <c r="L14" s="9"/>
      <c r="M14" s="9" t="s">
        <v>58</v>
      </c>
      <c r="N14" s="9" t="s">
        <v>58</v>
      </c>
      <c r="O14" s="9"/>
      <c r="P14" s="9"/>
    </row>
    <row r="15" spans="1:16" ht="37.5" customHeight="1" x14ac:dyDescent="0.2">
      <c r="A15" s="9" t="s">
        <v>118</v>
      </c>
      <c r="B15" s="9"/>
      <c r="C15" s="9" t="s">
        <v>50</v>
      </c>
      <c r="D15" s="9"/>
      <c r="E15" s="9"/>
      <c r="F15" s="9" t="s">
        <v>22</v>
      </c>
      <c r="G15" s="9"/>
      <c r="H15" s="9"/>
      <c r="I15" s="9"/>
      <c r="J15" s="9"/>
      <c r="K15" s="9"/>
      <c r="L15" s="9"/>
      <c r="M15" s="9" t="s">
        <v>58</v>
      </c>
      <c r="N15" s="9" t="s">
        <v>58</v>
      </c>
      <c r="O15" s="9"/>
      <c r="P15" s="9"/>
    </row>
    <row r="16" spans="1:16" ht="37.5" customHeight="1" x14ac:dyDescent="0.2">
      <c r="A16" s="9" t="s">
        <v>119</v>
      </c>
      <c r="B16" s="9"/>
      <c r="C16" s="9" t="s">
        <v>50</v>
      </c>
      <c r="D16" s="9"/>
      <c r="E16" s="9"/>
      <c r="F16" s="9" t="s">
        <v>22</v>
      </c>
      <c r="G16" s="9"/>
      <c r="H16" s="9"/>
      <c r="I16" s="9"/>
      <c r="J16" s="9"/>
      <c r="K16" s="9"/>
      <c r="L16" s="9"/>
      <c r="M16" s="9" t="s">
        <v>58</v>
      </c>
      <c r="N16" s="9" t="s">
        <v>58</v>
      </c>
      <c r="O16" s="9"/>
      <c r="P16" s="9"/>
    </row>
    <row r="17" spans="1:16" ht="37.5" customHeight="1" x14ac:dyDescent="0.2">
      <c r="A17" s="9" t="s">
        <v>120</v>
      </c>
      <c r="B17" s="9"/>
      <c r="C17" s="9" t="s">
        <v>50</v>
      </c>
      <c r="D17" s="9"/>
      <c r="E17" s="9"/>
      <c r="F17" s="9" t="s">
        <v>22</v>
      </c>
      <c r="G17" s="9"/>
      <c r="H17" s="9"/>
      <c r="I17" s="9"/>
      <c r="J17" s="9"/>
      <c r="K17" s="9"/>
      <c r="L17" s="9"/>
      <c r="M17" s="9" t="s">
        <v>58</v>
      </c>
      <c r="N17" s="9" t="s">
        <v>58</v>
      </c>
      <c r="O17" s="9"/>
      <c r="P17" s="9"/>
    </row>
    <row r="18" spans="1:16" ht="37.5" customHeight="1" x14ac:dyDescent="0.2">
      <c r="A18" s="9" t="s">
        <v>121</v>
      </c>
      <c r="B18" s="9"/>
      <c r="C18" s="9" t="s">
        <v>50</v>
      </c>
      <c r="D18" s="9"/>
      <c r="E18" s="9"/>
      <c r="F18" s="9" t="s">
        <v>22</v>
      </c>
      <c r="G18" s="9"/>
      <c r="H18" s="9"/>
      <c r="I18" s="9"/>
      <c r="J18" s="9"/>
      <c r="K18" s="9"/>
      <c r="L18" s="9"/>
      <c r="M18" s="9" t="s">
        <v>58</v>
      </c>
      <c r="N18" s="9" t="s">
        <v>58</v>
      </c>
      <c r="O18" s="9"/>
      <c r="P18" s="9"/>
    </row>
    <row r="19" spans="1:16" ht="37.5" customHeight="1" x14ac:dyDescent="0.2">
      <c r="A19" s="9" t="s">
        <v>122</v>
      </c>
      <c r="B19" s="9"/>
      <c r="C19" s="9" t="s">
        <v>50</v>
      </c>
      <c r="D19" s="9"/>
      <c r="E19" s="9"/>
      <c r="F19" s="9" t="s">
        <v>22</v>
      </c>
      <c r="G19" s="9"/>
      <c r="H19" s="9"/>
      <c r="I19" s="9"/>
      <c r="J19" s="9"/>
      <c r="K19" s="9"/>
      <c r="L19" s="9"/>
      <c r="M19" s="9" t="s">
        <v>58</v>
      </c>
      <c r="N19" s="9" t="s">
        <v>58</v>
      </c>
      <c r="O19" s="9"/>
      <c r="P19" s="9"/>
    </row>
    <row r="20" spans="1:16" ht="37.5" customHeight="1" x14ac:dyDescent="0.2">
      <c r="A20" s="9" t="s">
        <v>123</v>
      </c>
      <c r="B20" s="9"/>
      <c r="C20" s="9" t="s">
        <v>50</v>
      </c>
      <c r="D20" s="9"/>
      <c r="E20" s="9"/>
      <c r="F20" s="9" t="s">
        <v>22</v>
      </c>
      <c r="G20" s="9"/>
      <c r="H20" s="9"/>
      <c r="I20" s="9"/>
      <c r="J20" s="9"/>
      <c r="K20" s="9"/>
      <c r="L20" s="9"/>
      <c r="M20" s="9" t="s">
        <v>58</v>
      </c>
      <c r="N20" s="9" t="s">
        <v>58</v>
      </c>
      <c r="O20" s="9"/>
      <c r="P20" s="9"/>
    </row>
    <row r="21" spans="1:16" ht="37.5" customHeight="1" x14ac:dyDescent="0.2">
      <c r="A21" s="9" t="s">
        <v>124</v>
      </c>
      <c r="B21" s="9"/>
      <c r="C21" s="9" t="s">
        <v>50</v>
      </c>
      <c r="D21" s="9"/>
      <c r="E21" s="9"/>
      <c r="F21" s="9" t="s">
        <v>22</v>
      </c>
      <c r="G21" s="9"/>
      <c r="H21" s="9"/>
      <c r="I21" s="9"/>
      <c r="J21" s="9"/>
      <c r="K21" s="9"/>
      <c r="L21" s="9"/>
      <c r="M21" s="9" t="s">
        <v>58</v>
      </c>
      <c r="N21" s="9" t="s">
        <v>58</v>
      </c>
      <c r="O21" s="9"/>
      <c r="P21" s="9"/>
    </row>
    <row r="22" spans="1:16" ht="37.5" customHeight="1" x14ac:dyDescent="0.2">
      <c r="A22" s="9" t="s">
        <v>125</v>
      </c>
      <c r="B22" s="9"/>
      <c r="C22" s="9" t="s">
        <v>50</v>
      </c>
      <c r="D22" s="9"/>
      <c r="E22" s="9"/>
      <c r="F22" s="9" t="s">
        <v>22</v>
      </c>
      <c r="G22" s="9"/>
      <c r="H22" s="9"/>
      <c r="I22" s="9"/>
      <c r="J22" s="9"/>
      <c r="K22" s="9"/>
      <c r="L22" s="9"/>
      <c r="M22" s="9" t="s">
        <v>58</v>
      </c>
      <c r="N22" s="9" t="s">
        <v>58</v>
      </c>
      <c r="O22" s="9"/>
      <c r="P22" s="9"/>
    </row>
    <row r="23" spans="1:16" ht="37.5" customHeight="1" x14ac:dyDescent="0.2">
      <c r="A23" s="9" t="s">
        <v>126</v>
      </c>
      <c r="B23" s="9"/>
      <c r="C23" s="9" t="s">
        <v>50</v>
      </c>
      <c r="D23" s="9"/>
      <c r="E23" s="9"/>
      <c r="F23" s="9" t="s">
        <v>22</v>
      </c>
      <c r="G23" s="9"/>
      <c r="H23" s="9"/>
      <c r="I23" s="9"/>
      <c r="J23" s="9"/>
      <c r="K23" s="9"/>
      <c r="L23" s="9"/>
      <c r="M23" s="9" t="s">
        <v>58</v>
      </c>
      <c r="N23" s="9" t="s">
        <v>58</v>
      </c>
      <c r="O23" s="9"/>
      <c r="P23" s="9"/>
    </row>
    <row r="24" spans="1:16" ht="37.5" customHeight="1" x14ac:dyDescent="0.2">
      <c r="A24" s="9" t="s">
        <v>127</v>
      </c>
      <c r="B24" s="9"/>
      <c r="C24" s="9" t="s">
        <v>50</v>
      </c>
      <c r="D24" s="9"/>
      <c r="E24" s="9"/>
      <c r="F24" s="9" t="s">
        <v>22</v>
      </c>
      <c r="G24" s="9"/>
      <c r="H24" s="9"/>
      <c r="I24" s="9"/>
      <c r="J24" s="9"/>
      <c r="K24" s="9"/>
      <c r="L24" s="9"/>
      <c r="M24" s="9" t="s">
        <v>58</v>
      </c>
      <c r="N24" s="9" t="s">
        <v>58</v>
      </c>
      <c r="O24" s="9"/>
      <c r="P24" s="9"/>
    </row>
    <row r="25" spans="1:16" ht="37.5" customHeight="1" x14ac:dyDescent="0.2">
      <c r="A25" s="9" t="s">
        <v>128</v>
      </c>
      <c r="B25" s="9"/>
      <c r="C25" s="9" t="s">
        <v>50</v>
      </c>
      <c r="D25" s="9"/>
      <c r="E25" s="9"/>
      <c r="F25" s="9" t="s">
        <v>22</v>
      </c>
      <c r="G25" s="9"/>
      <c r="H25" s="9"/>
      <c r="I25" s="9"/>
      <c r="J25" s="9"/>
      <c r="K25" s="9"/>
      <c r="L25" s="9"/>
      <c r="M25" s="9" t="s">
        <v>58</v>
      </c>
      <c r="N25" s="9" t="s">
        <v>58</v>
      </c>
      <c r="O25" s="9"/>
      <c r="P25" s="9"/>
    </row>
    <row r="26" spans="1:16" ht="37.5" customHeight="1" x14ac:dyDescent="0.2">
      <c r="A26" s="9" t="s">
        <v>129</v>
      </c>
      <c r="B26" s="9"/>
      <c r="C26" s="9" t="s">
        <v>50</v>
      </c>
      <c r="D26" s="9"/>
      <c r="E26" s="9"/>
      <c r="F26" s="9" t="s">
        <v>22</v>
      </c>
      <c r="G26" s="9"/>
      <c r="H26" s="9"/>
      <c r="I26" s="9"/>
      <c r="J26" s="9"/>
      <c r="K26" s="9"/>
      <c r="L26" s="9"/>
      <c r="M26" s="9" t="s">
        <v>58</v>
      </c>
      <c r="N26" s="9" t="s">
        <v>58</v>
      </c>
      <c r="O26" s="9"/>
      <c r="P26" s="9"/>
    </row>
    <row r="27" spans="1:16" ht="37.5" customHeight="1" x14ac:dyDescent="0.2">
      <c r="A27" s="9" t="s">
        <v>130</v>
      </c>
      <c r="B27" s="9"/>
      <c r="C27" s="9" t="s">
        <v>50</v>
      </c>
      <c r="D27" s="9"/>
      <c r="E27" s="9"/>
      <c r="F27" s="9" t="s">
        <v>22</v>
      </c>
      <c r="G27" s="9"/>
      <c r="H27" s="9"/>
      <c r="I27" s="9"/>
      <c r="J27" s="9"/>
      <c r="K27" s="9"/>
      <c r="L27" s="9"/>
      <c r="M27" s="9" t="s">
        <v>58</v>
      </c>
      <c r="N27" s="9" t="s">
        <v>58</v>
      </c>
      <c r="O27" s="9"/>
      <c r="P27" s="9"/>
    </row>
    <row r="28" spans="1:16" ht="37.5" customHeight="1" x14ac:dyDescent="0.2">
      <c r="A28" s="9" t="s">
        <v>131</v>
      </c>
      <c r="B28" s="9"/>
      <c r="C28" s="9" t="s">
        <v>50</v>
      </c>
      <c r="D28" s="9"/>
      <c r="E28" s="9"/>
      <c r="F28" s="9" t="s">
        <v>22</v>
      </c>
      <c r="G28" s="9"/>
      <c r="H28" s="9"/>
      <c r="I28" s="9"/>
      <c r="J28" s="9"/>
      <c r="K28" s="9"/>
      <c r="L28" s="9"/>
      <c r="M28" s="9" t="s">
        <v>58</v>
      </c>
      <c r="N28" s="9" t="s">
        <v>58</v>
      </c>
      <c r="O28" s="9"/>
      <c r="P28" s="9"/>
    </row>
    <row r="29" spans="1:16" ht="37.5" customHeight="1" x14ac:dyDescent="0.2">
      <c r="A29" s="9" t="s">
        <v>132</v>
      </c>
      <c r="B29" s="9"/>
      <c r="C29" s="9" t="s">
        <v>50</v>
      </c>
      <c r="D29" s="9"/>
      <c r="E29" s="9"/>
      <c r="F29" s="9" t="s">
        <v>22</v>
      </c>
      <c r="G29" s="9"/>
      <c r="H29" s="9"/>
      <c r="I29" s="9"/>
      <c r="J29" s="9"/>
      <c r="K29" s="9"/>
      <c r="L29" s="9"/>
      <c r="M29" s="9" t="s">
        <v>58</v>
      </c>
      <c r="N29" s="9" t="s">
        <v>58</v>
      </c>
      <c r="O29" s="9"/>
      <c r="P29" s="9"/>
    </row>
    <row r="30" spans="1:16" ht="37.5" customHeight="1" x14ac:dyDescent="0.2">
      <c r="A30" s="9" t="s">
        <v>133</v>
      </c>
      <c r="B30" s="9"/>
      <c r="C30" s="9" t="s">
        <v>50</v>
      </c>
      <c r="D30" s="9"/>
      <c r="E30" s="9"/>
      <c r="F30" s="9" t="s">
        <v>22</v>
      </c>
      <c r="G30" s="9"/>
      <c r="H30" s="9"/>
      <c r="I30" s="9"/>
      <c r="J30" s="9"/>
      <c r="K30" s="9"/>
      <c r="L30" s="9"/>
      <c r="M30" s="9" t="s">
        <v>58</v>
      </c>
      <c r="N30" s="9" t="s">
        <v>58</v>
      </c>
      <c r="O30" s="9"/>
      <c r="P30" s="9"/>
    </row>
    <row r="31" spans="1:16" ht="37.5" customHeight="1" x14ac:dyDescent="0.2">
      <c r="A31" s="9" t="s">
        <v>134</v>
      </c>
      <c r="B31" s="9"/>
      <c r="C31" s="9" t="s">
        <v>50</v>
      </c>
      <c r="D31" s="9"/>
      <c r="E31" s="9"/>
      <c r="F31" s="9" t="s">
        <v>22</v>
      </c>
      <c r="G31" s="9"/>
      <c r="H31" s="9"/>
      <c r="I31" s="9"/>
      <c r="J31" s="9"/>
      <c r="K31" s="9"/>
      <c r="L31" s="9"/>
      <c r="M31" s="9" t="s">
        <v>58</v>
      </c>
      <c r="N31" s="9" t="s">
        <v>58</v>
      </c>
      <c r="O31" s="9"/>
      <c r="P31" s="9"/>
    </row>
    <row r="32" spans="1:16" ht="37.5" customHeight="1" x14ac:dyDescent="0.2">
      <c r="A32" s="9" t="s">
        <v>135</v>
      </c>
      <c r="B32" s="9"/>
      <c r="C32" s="9" t="s">
        <v>50</v>
      </c>
      <c r="D32" s="9"/>
      <c r="E32" s="9"/>
      <c r="F32" s="9" t="s">
        <v>22</v>
      </c>
      <c r="G32" s="9"/>
      <c r="H32" s="9"/>
      <c r="I32" s="9"/>
      <c r="J32" s="9"/>
      <c r="K32" s="9"/>
      <c r="L32" s="9"/>
      <c r="M32" s="9" t="s">
        <v>58</v>
      </c>
      <c r="N32" s="9" t="s">
        <v>58</v>
      </c>
      <c r="O32" s="9"/>
      <c r="P32" s="9"/>
    </row>
    <row r="33" spans="1:16" ht="37.5" customHeight="1" x14ac:dyDescent="0.2">
      <c r="A33" s="9" t="s">
        <v>136</v>
      </c>
      <c r="B33" s="9"/>
      <c r="C33" s="9" t="s">
        <v>50</v>
      </c>
      <c r="D33" s="9"/>
      <c r="E33" s="9"/>
      <c r="F33" s="9" t="s">
        <v>22</v>
      </c>
      <c r="G33" s="9"/>
      <c r="H33" s="9"/>
      <c r="I33" s="9"/>
      <c r="J33" s="9"/>
      <c r="K33" s="9"/>
      <c r="L33" s="9"/>
      <c r="M33" s="9" t="s">
        <v>58</v>
      </c>
      <c r="N33" s="9" t="s">
        <v>58</v>
      </c>
      <c r="O33" s="9"/>
      <c r="P33" s="9"/>
    </row>
    <row r="34" spans="1:16" ht="37.5" customHeight="1" x14ac:dyDescent="0.2">
      <c r="A34" s="9" t="s">
        <v>137</v>
      </c>
      <c r="B34" s="9"/>
      <c r="C34" s="9" t="s">
        <v>50</v>
      </c>
      <c r="D34" s="9"/>
      <c r="E34" s="9"/>
      <c r="F34" s="9" t="s">
        <v>22</v>
      </c>
      <c r="G34" s="9"/>
      <c r="H34" s="9"/>
      <c r="I34" s="9"/>
      <c r="J34" s="9"/>
      <c r="K34" s="9"/>
      <c r="L34" s="9"/>
      <c r="M34" s="9" t="s">
        <v>58</v>
      </c>
      <c r="N34" s="9" t="s">
        <v>58</v>
      </c>
      <c r="O34" s="9"/>
      <c r="P34" s="9"/>
    </row>
    <row r="35" spans="1:16" ht="37.5" customHeight="1" x14ac:dyDescent="0.2">
      <c r="A35" s="9" t="s">
        <v>138</v>
      </c>
      <c r="B35" s="9"/>
      <c r="C35" s="9" t="s">
        <v>50</v>
      </c>
      <c r="D35" s="9"/>
      <c r="E35" s="9"/>
      <c r="F35" s="9" t="s">
        <v>22</v>
      </c>
      <c r="G35" s="9"/>
      <c r="H35" s="9"/>
      <c r="I35" s="9"/>
      <c r="J35" s="9"/>
      <c r="K35" s="9"/>
      <c r="L35" s="9"/>
      <c r="M35" s="9" t="s">
        <v>58</v>
      </c>
      <c r="N35" s="9" t="s">
        <v>58</v>
      </c>
      <c r="O35" s="9"/>
      <c r="P35" s="9"/>
    </row>
    <row r="36" spans="1:16" ht="37.5" customHeight="1" x14ac:dyDescent="0.2">
      <c r="A36" s="9" t="s">
        <v>139</v>
      </c>
      <c r="B36" s="9"/>
      <c r="C36" s="9" t="s">
        <v>50</v>
      </c>
      <c r="D36" s="9"/>
      <c r="E36" s="9"/>
      <c r="F36" s="9" t="s">
        <v>22</v>
      </c>
      <c r="G36" s="9"/>
      <c r="H36" s="9"/>
      <c r="I36" s="9"/>
      <c r="J36" s="9"/>
      <c r="K36" s="9"/>
      <c r="L36" s="9"/>
      <c r="M36" s="9" t="s">
        <v>58</v>
      </c>
      <c r="N36" s="9" t="s">
        <v>58</v>
      </c>
      <c r="O36" s="9"/>
      <c r="P36" s="9"/>
    </row>
    <row r="37" spans="1:16" ht="37.5" customHeight="1" x14ac:dyDescent="0.2">
      <c r="A37" s="9" t="s">
        <v>140</v>
      </c>
      <c r="B37" s="9"/>
      <c r="C37" s="9" t="s">
        <v>50</v>
      </c>
      <c r="D37" s="9"/>
      <c r="E37" s="9"/>
      <c r="F37" s="9" t="s">
        <v>22</v>
      </c>
      <c r="G37" s="9"/>
      <c r="H37" s="9"/>
      <c r="I37" s="9"/>
      <c r="J37" s="9"/>
      <c r="K37" s="9"/>
      <c r="L37" s="9"/>
      <c r="M37" s="9" t="s">
        <v>58</v>
      </c>
      <c r="N37" s="9" t="s">
        <v>58</v>
      </c>
      <c r="O37" s="9"/>
      <c r="P37" s="9"/>
    </row>
    <row r="38" spans="1:16" ht="37.5" customHeight="1" x14ac:dyDescent="0.2">
      <c r="A38" s="9" t="s">
        <v>141</v>
      </c>
      <c r="B38" s="9"/>
      <c r="C38" s="9" t="s">
        <v>50</v>
      </c>
      <c r="D38" s="9"/>
      <c r="E38" s="9"/>
      <c r="F38" s="9" t="s">
        <v>22</v>
      </c>
      <c r="G38" s="9"/>
      <c r="H38" s="9"/>
      <c r="I38" s="9"/>
      <c r="J38" s="9"/>
      <c r="K38" s="9"/>
      <c r="L38" s="9"/>
      <c r="M38" s="9" t="s">
        <v>58</v>
      </c>
      <c r="N38" s="9" t="s">
        <v>58</v>
      </c>
      <c r="O38" s="9"/>
      <c r="P38" s="9"/>
    </row>
    <row r="39" spans="1:16" ht="37.5" customHeight="1" x14ac:dyDescent="0.2">
      <c r="A39" s="9" t="s">
        <v>142</v>
      </c>
      <c r="B39" s="9"/>
      <c r="C39" s="9" t="s">
        <v>50</v>
      </c>
      <c r="D39" s="9"/>
      <c r="E39" s="9"/>
      <c r="F39" s="9" t="s">
        <v>22</v>
      </c>
      <c r="G39" s="9"/>
      <c r="H39" s="9"/>
      <c r="I39" s="9"/>
      <c r="J39" s="9"/>
      <c r="K39" s="9"/>
      <c r="L39" s="9"/>
      <c r="M39" s="9" t="s">
        <v>58</v>
      </c>
      <c r="N39" s="9" t="s">
        <v>58</v>
      </c>
      <c r="O39" s="9"/>
      <c r="P39" s="9"/>
    </row>
    <row r="40" spans="1:16" ht="37.5" customHeight="1" x14ac:dyDescent="0.2">
      <c r="A40" s="9" t="s">
        <v>143</v>
      </c>
      <c r="B40" s="9"/>
      <c r="C40" s="9" t="s">
        <v>50</v>
      </c>
      <c r="D40" s="9"/>
      <c r="E40" s="9"/>
      <c r="F40" s="9" t="s">
        <v>22</v>
      </c>
      <c r="G40" s="9"/>
      <c r="H40" s="9"/>
      <c r="I40" s="9"/>
      <c r="J40" s="9"/>
      <c r="K40" s="9"/>
      <c r="L40" s="9"/>
      <c r="M40" s="9" t="s">
        <v>58</v>
      </c>
      <c r="N40" s="9" t="s">
        <v>58</v>
      </c>
      <c r="O40" s="9"/>
      <c r="P40" s="9"/>
    </row>
    <row r="41" spans="1:16" ht="37.5" customHeight="1" x14ac:dyDescent="0.2">
      <c r="A41" s="9" t="s">
        <v>144</v>
      </c>
      <c r="B41" s="9"/>
      <c r="C41" s="9" t="s">
        <v>50</v>
      </c>
      <c r="D41" s="9"/>
      <c r="E41" s="9"/>
      <c r="F41" s="9" t="s">
        <v>22</v>
      </c>
      <c r="G41" s="9"/>
      <c r="H41" s="9"/>
      <c r="I41" s="9"/>
      <c r="J41" s="9"/>
      <c r="K41" s="9"/>
      <c r="L41" s="9"/>
      <c r="M41" s="9" t="s">
        <v>58</v>
      </c>
      <c r="N41" s="9" t="s">
        <v>58</v>
      </c>
      <c r="O41" s="9"/>
      <c r="P41" s="9"/>
    </row>
    <row r="42" spans="1:16" ht="37.5" customHeight="1" x14ac:dyDescent="0.2">
      <c r="A42" s="9" t="s">
        <v>145</v>
      </c>
      <c r="B42" s="9"/>
      <c r="C42" s="9" t="s">
        <v>50</v>
      </c>
      <c r="D42" s="9"/>
      <c r="E42" s="9"/>
      <c r="F42" s="9" t="s">
        <v>22</v>
      </c>
      <c r="G42" s="9"/>
      <c r="H42" s="9"/>
      <c r="I42" s="9"/>
      <c r="J42" s="9"/>
      <c r="K42" s="9"/>
      <c r="L42" s="9"/>
      <c r="M42" s="9" t="s">
        <v>58</v>
      </c>
      <c r="N42" s="9" t="s">
        <v>58</v>
      </c>
      <c r="O42" s="9"/>
      <c r="P42" s="9"/>
    </row>
    <row r="43" spans="1:16" ht="37.5" customHeight="1" x14ac:dyDescent="0.2">
      <c r="A43" s="9" t="s">
        <v>146</v>
      </c>
      <c r="B43" s="9"/>
      <c r="C43" s="9" t="s">
        <v>50</v>
      </c>
      <c r="D43" s="9"/>
      <c r="E43" s="9"/>
      <c r="F43" s="9" t="s">
        <v>22</v>
      </c>
      <c r="G43" s="9"/>
      <c r="H43" s="9"/>
      <c r="I43" s="9"/>
      <c r="J43" s="9"/>
      <c r="K43" s="9"/>
      <c r="L43" s="9"/>
      <c r="M43" s="9" t="s">
        <v>58</v>
      </c>
      <c r="N43" s="9" t="s">
        <v>58</v>
      </c>
      <c r="O43" s="9"/>
      <c r="P43" s="9"/>
    </row>
    <row r="44" spans="1:16" ht="37.5" customHeight="1" x14ac:dyDescent="0.2">
      <c r="A44" s="9" t="s">
        <v>147</v>
      </c>
      <c r="B44" s="9"/>
      <c r="C44" s="9" t="s">
        <v>50</v>
      </c>
      <c r="D44" s="9"/>
      <c r="E44" s="9"/>
      <c r="F44" s="9" t="s">
        <v>22</v>
      </c>
      <c r="G44" s="9"/>
      <c r="H44" s="9"/>
      <c r="I44" s="9"/>
      <c r="J44" s="9"/>
      <c r="K44" s="9"/>
      <c r="L44" s="9"/>
      <c r="M44" s="9" t="s">
        <v>58</v>
      </c>
      <c r="N44" s="9" t="s">
        <v>58</v>
      </c>
      <c r="O44" s="9"/>
      <c r="P44" s="9"/>
    </row>
    <row r="45" spans="1:16" ht="37.5" customHeight="1" x14ac:dyDescent="0.2">
      <c r="A45" s="9" t="s">
        <v>148</v>
      </c>
      <c r="B45" s="9"/>
      <c r="C45" s="9" t="s">
        <v>50</v>
      </c>
      <c r="D45" s="9"/>
      <c r="E45" s="9"/>
      <c r="F45" s="9" t="s">
        <v>22</v>
      </c>
      <c r="G45" s="9"/>
      <c r="H45" s="9"/>
      <c r="I45" s="9"/>
      <c r="J45" s="9"/>
      <c r="K45" s="9"/>
      <c r="L45" s="9"/>
      <c r="M45" s="9" t="s">
        <v>58</v>
      </c>
      <c r="N45" s="9" t="s">
        <v>58</v>
      </c>
      <c r="O45" s="9"/>
      <c r="P45" s="9"/>
    </row>
    <row r="46" spans="1:16" ht="37.5" customHeight="1" x14ac:dyDescent="0.2">
      <c r="A46" s="9" t="s">
        <v>149</v>
      </c>
      <c r="B46" s="9"/>
      <c r="C46" s="9" t="s">
        <v>50</v>
      </c>
      <c r="D46" s="9"/>
      <c r="E46" s="9"/>
      <c r="F46" s="9" t="s">
        <v>22</v>
      </c>
      <c r="G46" s="9"/>
      <c r="H46" s="9"/>
      <c r="I46" s="9"/>
      <c r="J46" s="9"/>
      <c r="K46" s="9"/>
      <c r="L46" s="9"/>
      <c r="M46" s="9" t="s">
        <v>58</v>
      </c>
      <c r="N46" s="9" t="s">
        <v>58</v>
      </c>
      <c r="O46" s="9"/>
      <c r="P46" s="9"/>
    </row>
    <row r="47" spans="1:16" ht="37.5" customHeight="1" x14ac:dyDescent="0.2">
      <c r="A47" s="9" t="s">
        <v>150</v>
      </c>
      <c r="B47" s="9"/>
      <c r="C47" s="9" t="s">
        <v>50</v>
      </c>
      <c r="D47" s="9"/>
      <c r="E47" s="9"/>
      <c r="F47" s="9" t="s">
        <v>22</v>
      </c>
      <c r="G47" s="9"/>
      <c r="H47" s="9"/>
      <c r="I47" s="9"/>
      <c r="J47" s="9"/>
      <c r="K47" s="9"/>
      <c r="L47" s="9"/>
      <c r="M47" s="9" t="s">
        <v>58</v>
      </c>
      <c r="N47" s="9" t="s">
        <v>58</v>
      </c>
      <c r="O47" s="9"/>
      <c r="P47" s="9"/>
    </row>
    <row r="48" spans="1:16" ht="37.5" customHeight="1" x14ac:dyDescent="0.2">
      <c r="A48" s="9" t="s">
        <v>151</v>
      </c>
      <c r="B48" s="9"/>
      <c r="C48" s="9" t="s">
        <v>50</v>
      </c>
      <c r="D48" s="9"/>
      <c r="E48" s="9"/>
      <c r="F48" s="9" t="s">
        <v>22</v>
      </c>
      <c r="G48" s="9"/>
      <c r="H48" s="9"/>
      <c r="I48" s="9"/>
      <c r="J48" s="9"/>
      <c r="K48" s="9"/>
      <c r="L48" s="9"/>
      <c r="M48" s="9" t="s">
        <v>58</v>
      </c>
      <c r="N48" s="9" t="s">
        <v>58</v>
      </c>
      <c r="O48" s="9"/>
      <c r="P48" s="9"/>
    </row>
    <row r="49" spans="1:16" ht="37.5" customHeight="1" x14ac:dyDescent="0.2">
      <c r="A49" s="9" t="s">
        <v>152</v>
      </c>
      <c r="B49" s="9"/>
      <c r="C49" s="9" t="s">
        <v>50</v>
      </c>
      <c r="D49" s="9"/>
      <c r="E49" s="9"/>
      <c r="F49" s="9" t="s">
        <v>22</v>
      </c>
      <c r="G49" s="9"/>
      <c r="H49" s="9"/>
      <c r="I49" s="9"/>
      <c r="J49" s="9"/>
      <c r="K49" s="9"/>
      <c r="L49" s="9"/>
      <c r="M49" s="9" t="s">
        <v>58</v>
      </c>
      <c r="N49" s="9" t="s">
        <v>58</v>
      </c>
      <c r="O49" s="9"/>
      <c r="P49" s="9"/>
    </row>
    <row r="50" spans="1:16" ht="37.5" customHeight="1" x14ac:dyDescent="0.2">
      <c r="A50" s="9" t="s">
        <v>153</v>
      </c>
      <c r="B50" s="9"/>
      <c r="C50" s="9" t="s">
        <v>50</v>
      </c>
      <c r="D50" s="9"/>
      <c r="E50" s="9"/>
      <c r="F50" s="9" t="s">
        <v>22</v>
      </c>
      <c r="G50" s="9"/>
      <c r="H50" s="9"/>
      <c r="I50" s="9"/>
      <c r="J50" s="9"/>
      <c r="K50" s="9"/>
      <c r="L50" s="9"/>
      <c r="M50" s="9" t="s">
        <v>58</v>
      </c>
      <c r="N50" s="9" t="s">
        <v>58</v>
      </c>
      <c r="O50" s="9"/>
      <c r="P50" s="9"/>
    </row>
    <row r="51" spans="1:16" ht="37.5" customHeight="1" x14ac:dyDescent="0.2">
      <c r="A51" s="9" t="s">
        <v>154</v>
      </c>
      <c r="B51" s="9"/>
      <c r="C51" s="9" t="s">
        <v>50</v>
      </c>
      <c r="D51" s="9"/>
      <c r="E51" s="9"/>
      <c r="F51" s="9" t="s">
        <v>22</v>
      </c>
      <c r="G51" s="9"/>
      <c r="H51" s="9"/>
      <c r="I51" s="9"/>
      <c r="J51" s="9"/>
      <c r="K51" s="9"/>
      <c r="L51" s="9"/>
      <c r="M51" s="9" t="s">
        <v>58</v>
      </c>
      <c r="N51" s="9" t="s">
        <v>58</v>
      </c>
      <c r="O51" s="9"/>
      <c r="P51" s="9"/>
    </row>
    <row r="52" spans="1:16" ht="37.5" customHeight="1" x14ac:dyDescent="0.2">
      <c r="A52" s="9" t="s">
        <v>155</v>
      </c>
      <c r="B52" s="9"/>
      <c r="C52" s="9" t="s">
        <v>50</v>
      </c>
      <c r="D52" s="9"/>
      <c r="E52" s="9"/>
      <c r="F52" s="9" t="s">
        <v>22</v>
      </c>
      <c r="G52" s="9"/>
      <c r="H52" s="9"/>
      <c r="I52" s="9"/>
      <c r="J52" s="9"/>
      <c r="K52" s="9"/>
      <c r="L52" s="9"/>
      <c r="M52" s="9" t="s">
        <v>58</v>
      </c>
      <c r="N52" s="9" t="s">
        <v>58</v>
      </c>
      <c r="O52" s="9"/>
      <c r="P52" s="9"/>
    </row>
    <row r="53" spans="1:16" ht="15.75" customHeight="1" x14ac:dyDescent="0.2">
      <c r="A53" s="3" t="s">
        <v>156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 ht="37.5" customHeight="1" x14ac:dyDescent="0.2">
      <c r="A54" s="10" t="s">
        <v>157</v>
      </c>
      <c r="B54" s="10" t="s">
        <v>18</v>
      </c>
      <c r="C54" s="10" t="s">
        <v>50</v>
      </c>
      <c r="D54" s="10" t="s">
        <v>158</v>
      </c>
      <c r="E54" s="10" t="s">
        <v>159</v>
      </c>
      <c r="F54" s="10" t="s">
        <v>160</v>
      </c>
      <c r="G54" s="10" t="s">
        <v>161</v>
      </c>
      <c r="H54" s="10" t="s">
        <v>162</v>
      </c>
      <c r="I54" s="10" t="s">
        <v>163</v>
      </c>
      <c r="J54" s="10" t="s">
        <v>164</v>
      </c>
      <c r="K54" s="10" t="s">
        <v>165</v>
      </c>
      <c r="L54" s="10" t="s">
        <v>166</v>
      </c>
      <c r="M54" s="10" t="s">
        <v>58</v>
      </c>
      <c r="N54" s="10" t="s">
        <v>29</v>
      </c>
      <c r="O54" s="10" t="s">
        <v>167</v>
      </c>
      <c r="P54" s="10" t="s">
        <v>256</v>
      </c>
    </row>
    <row r="55" spans="1:16" ht="37.5" customHeight="1" x14ac:dyDescent="0.2">
      <c r="A55" s="10" t="s">
        <v>168</v>
      </c>
      <c r="B55" s="10" t="s">
        <v>49</v>
      </c>
      <c r="C55" s="10" t="s">
        <v>50</v>
      </c>
      <c r="D55" s="10" t="s">
        <v>169</v>
      </c>
      <c r="E55" s="10" t="s">
        <v>170</v>
      </c>
      <c r="F55" s="10" t="s">
        <v>160</v>
      </c>
      <c r="G55" s="10" t="s">
        <v>161</v>
      </c>
      <c r="H55" s="10" t="s">
        <v>171</v>
      </c>
      <c r="I55" s="10" t="s">
        <v>172</v>
      </c>
      <c r="J55" s="10" t="s">
        <v>173</v>
      </c>
      <c r="K55" s="10" t="s">
        <v>174</v>
      </c>
      <c r="L55" s="10" t="s">
        <v>175</v>
      </c>
      <c r="M55" s="10" t="s">
        <v>58</v>
      </c>
      <c r="N55" s="10" t="s">
        <v>29</v>
      </c>
      <c r="O55" s="10" t="s">
        <v>176</v>
      </c>
      <c r="P55" s="10" t="s">
        <v>257</v>
      </c>
    </row>
    <row r="56" spans="1:16" ht="37.5" customHeight="1" x14ac:dyDescent="0.2">
      <c r="A56" s="10" t="s">
        <v>177</v>
      </c>
      <c r="B56" s="10" t="s">
        <v>49</v>
      </c>
      <c r="C56" s="10" t="s">
        <v>50</v>
      </c>
      <c r="D56" s="10" t="s">
        <v>178</v>
      </c>
      <c r="E56" s="10" t="s">
        <v>179</v>
      </c>
      <c r="F56" s="10" t="s">
        <v>180</v>
      </c>
      <c r="G56" s="10" t="s">
        <v>161</v>
      </c>
      <c r="H56" s="10" t="s">
        <v>180</v>
      </c>
      <c r="I56" s="10" t="s">
        <v>181</v>
      </c>
      <c r="J56" s="10" t="s">
        <v>182</v>
      </c>
      <c r="K56" s="10" t="s">
        <v>183</v>
      </c>
      <c r="L56" s="10" t="s">
        <v>184</v>
      </c>
      <c r="M56" s="10" t="s">
        <v>58</v>
      </c>
      <c r="N56" s="10" t="s">
        <v>58</v>
      </c>
      <c r="O56" s="18" t="s">
        <v>258</v>
      </c>
      <c r="P56" s="10" t="s">
        <v>185</v>
      </c>
    </row>
    <row r="57" spans="1:16" ht="37.5" customHeight="1" x14ac:dyDescent="0.2">
      <c r="A57" s="10" t="s">
        <v>186</v>
      </c>
      <c r="B57" s="10" t="s">
        <v>187</v>
      </c>
      <c r="C57" s="10" t="s">
        <v>19</v>
      </c>
      <c r="D57" s="10" t="s">
        <v>188</v>
      </c>
      <c r="E57" s="10" t="s">
        <v>189</v>
      </c>
      <c r="F57" s="10" t="s">
        <v>160</v>
      </c>
      <c r="G57" s="10" t="s">
        <v>161</v>
      </c>
      <c r="H57" s="10" t="s">
        <v>190</v>
      </c>
      <c r="I57" s="10" t="s">
        <v>191</v>
      </c>
      <c r="J57" s="10" t="s">
        <v>192</v>
      </c>
      <c r="K57" s="10" t="s">
        <v>193</v>
      </c>
      <c r="L57" s="10" t="s">
        <v>166</v>
      </c>
      <c r="M57" s="10" t="s">
        <v>29</v>
      </c>
      <c r="N57" s="10" t="s">
        <v>58</v>
      </c>
      <c r="O57" s="18" t="s">
        <v>259</v>
      </c>
      <c r="P57" s="10" t="s">
        <v>194</v>
      </c>
    </row>
    <row r="58" spans="1:16" ht="37.5" customHeight="1" x14ac:dyDescent="0.2">
      <c r="A58" s="10" t="s">
        <v>195</v>
      </c>
      <c r="B58" s="10" t="s">
        <v>18</v>
      </c>
      <c r="C58" s="10" t="s">
        <v>19</v>
      </c>
      <c r="D58" s="10" t="s">
        <v>196</v>
      </c>
      <c r="E58" s="10" t="s">
        <v>197</v>
      </c>
      <c r="F58" s="10" t="s">
        <v>160</v>
      </c>
      <c r="G58" s="10" t="s">
        <v>161</v>
      </c>
      <c r="H58" s="10" t="s">
        <v>198</v>
      </c>
      <c r="I58" s="10" t="s">
        <v>199</v>
      </c>
      <c r="J58" s="10" t="s">
        <v>200</v>
      </c>
      <c r="K58" s="10" t="s">
        <v>201</v>
      </c>
      <c r="L58" s="10" t="s">
        <v>202</v>
      </c>
      <c r="M58" s="10" t="s">
        <v>29</v>
      </c>
      <c r="N58" s="10" t="s">
        <v>58</v>
      </c>
      <c r="O58" s="18" t="s">
        <v>260</v>
      </c>
      <c r="P58" s="10" t="s">
        <v>261</v>
      </c>
    </row>
    <row r="59" spans="1:16" ht="37.5" customHeight="1" x14ac:dyDescent="0.2">
      <c r="A59" s="10" t="s">
        <v>203</v>
      </c>
      <c r="B59" s="10"/>
      <c r="C59" s="10" t="s">
        <v>50</v>
      </c>
      <c r="D59" s="10"/>
      <c r="E59" s="10"/>
      <c r="F59" s="10" t="s">
        <v>160</v>
      </c>
      <c r="G59" s="10" t="s">
        <v>161</v>
      </c>
      <c r="H59" s="10"/>
      <c r="I59" s="10"/>
      <c r="J59" s="10"/>
      <c r="K59" s="10"/>
      <c r="L59" s="10"/>
      <c r="M59" s="10" t="s">
        <v>58</v>
      </c>
      <c r="N59" s="10" t="s">
        <v>58</v>
      </c>
      <c r="O59" s="10"/>
      <c r="P59" s="10"/>
    </row>
    <row r="60" spans="1:16" ht="37.5" customHeight="1" x14ac:dyDescent="0.2">
      <c r="A60" s="10" t="s">
        <v>204</v>
      </c>
      <c r="B60" s="10"/>
      <c r="C60" s="10" t="s">
        <v>50</v>
      </c>
      <c r="D60" s="10"/>
      <c r="E60" s="10"/>
      <c r="F60" s="10" t="s">
        <v>160</v>
      </c>
      <c r="G60" s="10" t="s">
        <v>161</v>
      </c>
      <c r="H60" s="10"/>
      <c r="I60" s="10"/>
      <c r="J60" s="10"/>
      <c r="K60" s="10"/>
      <c r="L60" s="10"/>
      <c r="M60" s="10" t="s">
        <v>58</v>
      </c>
      <c r="N60" s="10" t="s">
        <v>58</v>
      </c>
      <c r="O60" s="10"/>
      <c r="P60" s="10"/>
    </row>
    <row r="61" spans="1:16" ht="37.5" customHeight="1" x14ac:dyDescent="0.2">
      <c r="A61" s="10" t="s">
        <v>205</v>
      </c>
      <c r="B61" s="10"/>
      <c r="C61" s="10" t="s">
        <v>50</v>
      </c>
      <c r="D61" s="10"/>
      <c r="E61" s="10"/>
      <c r="F61" s="10" t="s">
        <v>160</v>
      </c>
      <c r="G61" s="10" t="s">
        <v>161</v>
      </c>
      <c r="H61" s="10"/>
      <c r="I61" s="10"/>
      <c r="J61" s="10"/>
      <c r="K61" s="10"/>
      <c r="L61" s="10"/>
      <c r="M61" s="10" t="s">
        <v>58</v>
      </c>
      <c r="N61" s="10" t="s">
        <v>58</v>
      </c>
      <c r="O61" s="10"/>
      <c r="P61" s="10"/>
    </row>
    <row r="62" spans="1:16" ht="37.5" customHeight="1" x14ac:dyDescent="0.2">
      <c r="A62" s="10" t="s">
        <v>206</v>
      </c>
      <c r="B62" s="10"/>
      <c r="C62" s="10" t="s">
        <v>50</v>
      </c>
      <c r="D62" s="10"/>
      <c r="E62" s="10"/>
      <c r="F62" s="10" t="s">
        <v>160</v>
      </c>
      <c r="G62" s="10" t="s">
        <v>161</v>
      </c>
      <c r="H62" s="10"/>
      <c r="I62" s="10"/>
      <c r="J62" s="10"/>
      <c r="K62" s="10"/>
      <c r="L62" s="10"/>
      <c r="M62" s="10" t="s">
        <v>58</v>
      </c>
      <c r="N62" s="10" t="s">
        <v>58</v>
      </c>
      <c r="O62" s="10"/>
      <c r="P62" s="10"/>
    </row>
    <row r="63" spans="1:16" ht="37.5" customHeight="1" x14ac:dyDescent="0.2">
      <c r="A63" s="10" t="s">
        <v>207</v>
      </c>
      <c r="B63" s="10"/>
      <c r="C63" s="10" t="s">
        <v>50</v>
      </c>
      <c r="D63" s="10"/>
      <c r="E63" s="10"/>
      <c r="F63" s="10" t="s">
        <v>160</v>
      </c>
      <c r="G63" s="10" t="s">
        <v>161</v>
      </c>
      <c r="H63" s="10"/>
      <c r="I63" s="10"/>
      <c r="J63" s="10"/>
      <c r="K63" s="10"/>
      <c r="L63" s="10"/>
      <c r="M63" s="10" t="s">
        <v>58</v>
      </c>
      <c r="N63" s="10" t="s">
        <v>58</v>
      </c>
      <c r="O63" s="10"/>
      <c r="P63" s="10"/>
    </row>
    <row r="64" spans="1:16" ht="37.5" customHeight="1" x14ac:dyDescent="0.2">
      <c r="A64" s="10" t="s">
        <v>208</v>
      </c>
      <c r="B64" s="10"/>
      <c r="C64" s="10" t="s">
        <v>50</v>
      </c>
      <c r="D64" s="10"/>
      <c r="E64" s="10"/>
      <c r="F64" s="10" t="s">
        <v>160</v>
      </c>
      <c r="G64" s="10" t="s">
        <v>161</v>
      </c>
      <c r="H64" s="10"/>
      <c r="I64" s="10"/>
      <c r="J64" s="10"/>
      <c r="K64" s="10"/>
      <c r="L64" s="10"/>
      <c r="M64" s="10" t="s">
        <v>58</v>
      </c>
      <c r="N64" s="10" t="s">
        <v>58</v>
      </c>
      <c r="O64" s="10"/>
      <c r="P64" s="10"/>
    </row>
    <row r="65" spans="1:16" ht="37.5" customHeight="1" x14ac:dyDescent="0.2">
      <c r="A65" s="10" t="s">
        <v>209</v>
      </c>
      <c r="B65" s="10"/>
      <c r="C65" s="10" t="s">
        <v>50</v>
      </c>
      <c r="D65" s="10"/>
      <c r="E65" s="10"/>
      <c r="F65" s="10" t="s">
        <v>160</v>
      </c>
      <c r="G65" s="10" t="s">
        <v>161</v>
      </c>
      <c r="H65" s="10"/>
      <c r="I65" s="10"/>
      <c r="J65" s="10"/>
      <c r="K65" s="10"/>
      <c r="L65" s="10"/>
      <c r="M65" s="10" t="s">
        <v>58</v>
      </c>
      <c r="N65" s="10" t="s">
        <v>58</v>
      </c>
      <c r="O65" s="10"/>
      <c r="P65" s="10"/>
    </row>
    <row r="66" spans="1:16" ht="37.5" customHeight="1" x14ac:dyDescent="0.2">
      <c r="A66" s="10" t="s">
        <v>210</v>
      </c>
      <c r="B66" s="10"/>
      <c r="C66" s="10" t="s">
        <v>50</v>
      </c>
      <c r="D66" s="10"/>
      <c r="E66" s="10"/>
      <c r="F66" s="10" t="s">
        <v>160</v>
      </c>
      <c r="G66" s="10" t="s">
        <v>161</v>
      </c>
      <c r="H66" s="10"/>
      <c r="I66" s="10"/>
      <c r="J66" s="10"/>
      <c r="K66" s="10"/>
      <c r="L66" s="10"/>
      <c r="M66" s="10" t="s">
        <v>58</v>
      </c>
      <c r="N66" s="10" t="s">
        <v>58</v>
      </c>
      <c r="O66" s="10"/>
      <c r="P66" s="10"/>
    </row>
    <row r="67" spans="1:16" ht="37.5" customHeight="1" x14ac:dyDescent="0.2">
      <c r="A67" s="10" t="s">
        <v>211</v>
      </c>
      <c r="B67" s="10"/>
      <c r="C67" s="10" t="s">
        <v>50</v>
      </c>
      <c r="D67" s="10"/>
      <c r="E67" s="10"/>
      <c r="F67" s="10" t="s">
        <v>160</v>
      </c>
      <c r="G67" s="10" t="s">
        <v>161</v>
      </c>
      <c r="H67" s="10"/>
      <c r="I67" s="10"/>
      <c r="J67" s="10"/>
      <c r="K67" s="10"/>
      <c r="L67" s="10"/>
      <c r="M67" s="10" t="s">
        <v>58</v>
      </c>
      <c r="N67" s="10" t="s">
        <v>58</v>
      </c>
      <c r="O67" s="10"/>
      <c r="P67" s="10"/>
    </row>
    <row r="68" spans="1:16" ht="37.5" customHeight="1" x14ac:dyDescent="0.2">
      <c r="A68" s="10" t="s">
        <v>212</v>
      </c>
      <c r="B68" s="10"/>
      <c r="C68" s="10" t="s">
        <v>50</v>
      </c>
      <c r="D68" s="10"/>
      <c r="E68" s="10"/>
      <c r="F68" s="10" t="s">
        <v>160</v>
      </c>
      <c r="G68" s="10" t="s">
        <v>161</v>
      </c>
      <c r="H68" s="10"/>
      <c r="I68" s="10"/>
      <c r="J68" s="10"/>
      <c r="K68" s="10"/>
      <c r="L68" s="10"/>
      <c r="M68" s="10" t="s">
        <v>58</v>
      </c>
      <c r="N68" s="10" t="s">
        <v>58</v>
      </c>
      <c r="O68" s="10"/>
      <c r="P68" s="10"/>
    </row>
  </sheetData>
  <mergeCells count="2">
    <mergeCell ref="A2:P2"/>
    <mergeCell ref="A53:P53"/>
  </mergeCells>
  <phoneticPr fontId="5" type="noConversion"/>
  <dataValidations count="6">
    <dataValidation type="list" allowBlank="1" sqref="B3:B200" xr:uid="{00000000-0002-0000-0000-000000000000}">
      <formula1>"A - Core,B - Important,C - Method,D - Background"</formula1>
      <formula2>0</formula2>
    </dataValidation>
    <dataValidation type="list" allowBlank="1" sqref="C3:C200" xr:uid="{00000000-0002-0000-0000-000001000000}">
      <formula1>"Not read,Skimmed,Reading,Read,Cited"</formula1>
      <formula2>0</formula2>
    </dataValidation>
    <dataValidation type="list" allowBlank="1" sqref="F3:F200" xr:uid="{00000000-0002-0000-0000-000002000000}">
      <formula1>"Journal,Conference,Preprint,Report,Government report,Industry report,Dataset,Working Paper"</formula1>
      <formula2>0</formula2>
    </dataValidation>
    <dataValidation type="list" allowBlank="1" sqref="G3:G200" xr:uid="{00000000-0002-0000-0000-000003000000}">
      <formula1>"Location-Allocation,Demand Estimation,Spatial Equity,Policy/Context"</formula1>
      <formula2>0</formula2>
    </dataValidation>
    <dataValidation type="list" allowBlank="1" sqref="L3:L200" xr:uid="{00000000-0002-0000-0000-000004000000}">
      <formula1>"Intro,Lit Review,Method,Discussion,Dataset,Appendix,Backup"</formula1>
      <formula2>0</formula2>
    </dataValidation>
    <dataValidation type="list" allowBlank="1" sqref="M3:N200" xr:uid="{00000000-0002-0000-0000-000005000000}">
      <formula1>"Yes,No"</formula1>
      <formula2>0</formula2>
    </dataValidation>
  </dataValidations>
  <hyperlinks>
    <hyperlink ref="O5" r:id="rId1" xr:uid="{6975EF95-0758-5942-AB35-D307FF41B9AC}"/>
    <hyperlink ref="O10" r:id="rId2" xr:uid="{4DC6956E-C6F2-D642-AD4C-6B2D793A33CD}"/>
    <hyperlink ref="O7" r:id="rId3" xr:uid="{F8CD2E05-0323-D745-A18A-6B5CA7933EDC}"/>
    <hyperlink ref="O9" r:id="rId4" xr:uid="{ACF206E9-E562-F34C-BD1B-9E98B1966C93}"/>
    <hyperlink ref="O11" r:id="rId5" xr:uid="{C99487DC-18AC-E749-8143-E0C56D91FA8D}"/>
    <hyperlink ref="O12" r:id="rId6" xr:uid="{02414805-C831-C542-A78D-B504A03C3443}"/>
    <hyperlink ref="O13" r:id="rId7" xr:uid="{3AF41360-93EB-BD48-8440-2101AAD5B639}"/>
    <hyperlink ref="O56" r:id="rId8" xr:uid="{52B2BF01-46D4-CE47-80FA-95945F0CBD4F}"/>
    <hyperlink ref="O57" r:id="rId9" xr:uid="{B5EAB48C-8540-124A-B423-1071C9FC802D}"/>
    <hyperlink ref="O58" r:id="rId10" xr:uid="{2CFA1234-3E15-5649-97A2-8FD7350F28CB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zoomScaleNormal="100" workbookViewId="0"/>
  </sheetViews>
  <sheetFormatPr baseColWidth="10" defaultColWidth="8.6640625" defaultRowHeight="15" x14ac:dyDescent="0.2"/>
  <cols>
    <col min="1" max="1" width="24" customWidth="1"/>
    <col min="2" max="2" width="10" customWidth="1"/>
    <col min="4" max="4" width="24" customWidth="1"/>
    <col min="5" max="5" width="50" customWidth="1"/>
  </cols>
  <sheetData>
    <row r="1" spans="1:5" ht="19.5" customHeight="1" x14ac:dyDescent="0.2">
      <c r="A1" s="2" t="s">
        <v>213</v>
      </c>
      <c r="B1" s="2"/>
      <c r="D1" s="2" t="s">
        <v>214</v>
      </c>
      <c r="E1" s="2"/>
    </row>
    <row r="2" spans="1:5" ht="18" customHeight="1" x14ac:dyDescent="0.2">
      <c r="A2" s="11" t="s">
        <v>215</v>
      </c>
      <c r="B2" s="12">
        <f>COUNTIF('Literature Matrix'!A3:A300,"P*")</f>
        <v>50</v>
      </c>
      <c r="D2" s="1" t="s">
        <v>216</v>
      </c>
      <c r="E2" s="1"/>
    </row>
    <row r="3" spans="1:5" ht="18" customHeight="1" x14ac:dyDescent="0.2">
      <c r="A3" s="11" t="s">
        <v>217</v>
      </c>
      <c r="B3" s="12">
        <f>COUNTIF('Literature Matrix'!A3:A300,"R*")</f>
        <v>15</v>
      </c>
      <c r="D3" s="1" t="s">
        <v>218</v>
      </c>
      <c r="E3" s="1"/>
    </row>
    <row r="4" spans="1:5" ht="18" customHeight="1" x14ac:dyDescent="0.2">
      <c r="A4" s="11" t="s">
        <v>219</v>
      </c>
      <c r="B4" s="12">
        <f>B2+B3</f>
        <v>65</v>
      </c>
      <c r="D4" s="1" t="s">
        <v>220</v>
      </c>
      <c r="E4" s="1"/>
    </row>
    <row r="5" spans="1:5" ht="18" customHeight="1" x14ac:dyDescent="0.2">
      <c r="D5" s="1" t="s">
        <v>221</v>
      </c>
      <c r="E5" s="1"/>
    </row>
    <row r="6" spans="1:5" ht="18" customHeight="1" x14ac:dyDescent="0.2">
      <c r="A6" s="2" t="s">
        <v>222</v>
      </c>
      <c r="B6" s="2"/>
      <c r="D6" s="1" t="s">
        <v>223</v>
      </c>
      <c r="E6" s="1"/>
    </row>
    <row r="7" spans="1:5" ht="18" customHeight="1" x14ac:dyDescent="0.2">
      <c r="A7" s="11" t="s">
        <v>18</v>
      </c>
      <c r="B7" s="12">
        <f>COUNTIF('Literature Matrix'!B3:B300,"A - Core")</f>
        <v>8</v>
      </c>
      <c r="D7" s="1" t="s">
        <v>224</v>
      </c>
      <c r="E7" s="1"/>
    </row>
    <row r="8" spans="1:5" ht="18" customHeight="1" x14ac:dyDescent="0.2">
      <c r="A8" s="11" t="s">
        <v>49</v>
      </c>
      <c r="B8" s="12">
        <f>COUNTIF('Literature Matrix'!B3:B300,"B - Important")</f>
        <v>5</v>
      </c>
    </row>
    <row r="9" spans="1:5" ht="18" customHeight="1" x14ac:dyDescent="0.2">
      <c r="A9" s="11" t="s">
        <v>102</v>
      </c>
      <c r="B9" s="12">
        <f>COUNTIF('Literature Matrix'!B3:B300,"C - Method")</f>
        <v>2</v>
      </c>
    </row>
    <row r="10" spans="1:5" ht="18" customHeight="1" x14ac:dyDescent="0.2">
      <c r="A10" s="11" t="s">
        <v>187</v>
      </c>
      <c r="B10" s="12">
        <f>COUNTIF('Literature Matrix'!B3:B300,"D - Background")</f>
        <v>1</v>
      </c>
    </row>
    <row r="12" spans="1:5" ht="19.5" customHeight="1" x14ac:dyDescent="0.2">
      <c r="A12" s="2" t="s">
        <v>225</v>
      </c>
      <c r="B12" s="2"/>
    </row>
    <row r="13" spans="1:5" ht="18" customHeight="1" x14ac:dyDescent="0.2">
      <c r="A13" s="11" t="s">
        <v>50</v>
      </c>
      <c r="B13" s="12">
        <f>COUNTIF('Literature Matrix'!C3:C300,"Not read")</f>
        <v>53</v>
      </c>
    </row>
    <row r="14" spans="1:5" ht="18" customHeight="1" x14ac:dyDescent="0.2">
      <c r="A14" s="11" t="s">
        <v>19</v>
      </c>
      <c r="B14" s="12">
        <f>COUNTIF('Literature Matrix'!C3:C300,"Skimmed")</f>
        <v>12</v>
      </c>
    </row>
    <row r="15" spans="1:5" ht="18" customHeight="1" x14ac:dyDescent="0.2">
      <c r="A15" s="11" t="s">
        <v>226</v>
      </c>
      <c r="B15" s="12">
        <f>COUNTIF('Literature Matrix'!C3:C300,"Reading")</f>
        <v>0</v>
      </c>
    </row>
    <row r="16" spans="1:5" ht="18" customHeight="1" x14ac:dyDescent="0.2">
      <c r="A16" s="11" t="s">
        <v>227</v>
      </c>
      <c r="B16" s="12">
        <f>COUNTIF('Literature Matrix'!C3:C300,"Read")</f>
        <v>0</v>
      </c>
    </row>
    <row r="17" spans="1:2" ht="18" customHeight="1" x14ac:dyDescent="0.2">
      <c r="A17" s="11" t="s">
        <v>228</v>
      </c>
      <c r="B17" s="12">
        <f>COUNTIF('Literature Matrix'!C3:C300,"Cited")</f>
        <v>0</v>
      </c>
    </row>
    <row r="19" spans="1:2" ht="19.5" customHeight="1" x14ac:dyDescent="0.2">
      <c r="A19" s="2" t="s">
        <v>229</v>
      </c>
      <c r="B19" s="2"/>
    </row>
    <row r="20" spans="1:2" ht="18" customHeight="1" x14ac:dyDescent="0.2">
      <c r="A20" s="11" t="s">
        <v>23</v>
      </c>
      <c r="B20" s="12">
        <f>COUNTIF('Literature Matrix'!G3:G300,"Location-Allocation")</f>
        <v>6</v>
      </c>
    </row>
    <row r="21" spans="1:2" ht="18" customHeight="1" x14ac:dyDescent="0.2">
      <c r="A21" s="11" t="s">
        <v>42</v>
      </c>
      <c r="B21" s="12">
        <f>COUNTIF('Literature Matrix'!G3:G300,"Demand Estimation")</f>
        <v>2</v>
      </c>
    </row>
    <row r="22" spans="1:2" ht="18" customHeight="1" x14ac:dyDescent="0.2">
      <c r="A22" s="11" t="s">
        <v>87</v>
      </c>
      <c r="B22" s="12">
        <f>COUNTIF('Literature Matrix'!G3:G300,"Spatial Equity")</f>
        <v>3</v>
      </c>
    </row>
    <row r="23" spans="1:2" ht="18" customHeight="1" x14ac:dyDescent="0.2">
      <c r="A23" s="11" t="s">
        <v>161</v>
      </c>
      <c r="B23" s="12">
        <f>COUNTIF('Literature Matrix'!G3:G300,"Policy/Context")</f>
        <v>15</v>
      </c>
    </row>
  </sheetData>
  <mergeCells count="11">
    <mergeCell ref="A19:B19"/>
    <mergeCell ref="D5:E5"/>
    <mergeCell ref="A6:B6"/>
    <mergeCell ref="D6:E6"/>
    <mergeCell ref="D7:E7"/>
    <mergeCell ref="A12:B12"/>
    <mergeCell ref="A1:B1"/>
    <mergeCell ref="D1:E1"/>
    <mergeCell ref="D2:E2"/>
    <mergeCell ref="D3:E3"/>
    <mergeCell ref="D4:E4"/>
  </mergeCells>
  <phoneticPr fontId="5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zoomScaleNormal="100" workbookViewId="0"/>
  </sheetViews>
  <sheetFormatPr baseColWidth="10" defaultColWidth="8.6640625" defaultRowHeight="15" x14ac:dyDescent="0.2"/>
  <cols>
    <col min="1" max="6" width="22" customWidth="1"/>
  </cols>
  <sheetData>
    <row r="1" spans="1:6" ht="15" customHeight="1" x14ac:dyDescent="0.2">
      <c r="A1" s="13" t="s">
        <v>1</v>
      </c>
      <c r="B1" s="13" t="s">
        <v>2</v>
      </c>
      <c r="C1" s="13" t="s">
        <v>5</v>
      </c>
      <c r="D1" s="13" t="s">
        <v>6</v>
      </c>
      <c r="E1" s="13" t="s">
        <v>11</v>
      </c>
      <c r="F1" s="13" t="s">
        <v>230</v>
      </c>
    </row>
    <row r="2" spans="1:6" ht="15" customHeight="1" x14ac:dyDescent="0.2">
      <c r="A2" s="14" t="s">
        <v>18</v>
      </c>
      <c r="B2" s="14" t="s">
        <v>50</v>
      </c>
      <c r="C2" s="14" t="s">
        <v>22</v>
      </c>
      <c r="D2" s="14" t="s">
        <v>23</v>
      </c>
      <c r="E2" s="14" t="s">
        <v>184</v>
      </c>
      <c r="F2" s="14" t="s">
        <v>29</v>
      </c>
    </row>
    <row r="3" spans="1:6" ht="15" customHeight="1" x14ac:dyDescent="0.2">
      <c r="A3" s="14" t="s">
        <v>49</v>
      </c>
      <c r="B3" s="14" t="s">
        <v>19</v>
      </c>
      <c r="C3" s="14" t="s">
        <v>231</v>
      </c>
      <c r="D3" s="14" t="s">
        <v>42</v>
      </c>
      <c r="E3" s="14" t="s">
        <v>57</v>
      </c>
      <c r="F3" s="14" t="s">
        <v>58</v>
      </c>
    </row>
    <row r="4" spans="1:6" ht="15" customHeight="1" x14ac:dyDescent="0.2">
      <c r="A4" s="14" t="s">
        <v>102</v>
      </c>
      <c r="B4" s="14" t="s">
        <v>226</v>
      </c>
      <c r="C4" s="14" t="s">
        <v>232</v>
      </c>
      <c r="D4" s="14" t="s">
        <v>87</v>
      </c>
      <c r="E4" s="14" t="s">
        <v>7</v>
      </c>
    </row>
    <row r="5" spans="1:6" ht="15" customHeight="1" x14ac:dyDescent="0.2">
      <c r="A5" s="14" t="s">
        <v>187</v>
      </c>
      <c r="B5" s="14" t="s">
        <v>227</v>
      </c>
      <c r="C5" s="14" t="s">
        <v>233</v>
      </c>
      <c r="D5" s="14" t="s">
        <v>161</v>
      </c>
      <c r="E5" s="14" t="s">
        <v>175</v>
      </c>
    </row>
    <row r="6" spans="1:6" ht="15" customHeight="1" x14ac:dyDescent="0.2">
      <c r="B6" s="14" t="s">
        <v>228</v>
      </c>
      <c r="C6" s="14" t="s">
        <v>160</v>
      </c>
      <c r="E6" s="14" t="s">
        <v>234</v>
      </c>
    </row>
    <row r="7" spans="1:6" ht="15" customHeight="1" x14ac:dyDescent="0.2">
      <c r="C7" s="14" t="s">
        <v>180</v>
      </c>
      <c r="E7" s="14" t="s">
        <v>235</v>
      </c>
    </row>
    <row r="8" spans="1:6" ht="15" customHeight="1" x14ac:dyDescent="0.2">
      <c r="C8" s="14" t="s">
        <v>234</v>
      </c>
      <c r="E8" s="14" t="s">
        <v>236</v>
      </c>
    </row>
    <row r="9" spans="1:6" ht="15" customHeight="1" x14ac:dyDescent="0.2">
      <c r="C9" s="14" t="s">
        <v>86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Literature Matrix</vt:lpstr>
      <vt:lpstr>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Yuyue Xia</cp:lastModifiedBy>
  <cp:revision>2</cp:revision>
  <dcterms:created xsi:type="dcterms:W3CDTF">2026-06-13T17:55:31Z</dcterms:created>
  <dcterms:modified xsi:type="dcterms:W3CDTF">2026-06-18T07:19:08Z</dcterms:modified>
  <dc:language>en-US</dc:language>
</cp:coreProperties>
</file>